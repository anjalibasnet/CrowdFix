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Projects\CrowdFix\docs\"/>
    </mc:Choice>
  </mc:AlternateContent>
  <xr:revisionPtr revIDLastSave="0" documentId="8_{FED69D3B-F148-445E-B88D-1351A29C53BD}" xr6:coauthVersionLast="47" xr6:coauthVersionMax="47" xr10:uidLastSave="{00000000-0000-0000-0000-000000000000}"/>
  <bookViews>
    <workbookView xWindow="-98" yWindow="-98" windowWidth="21795" windowHeight="12975" tabRatio="500" activeTab="1" xr2:uid="{00000000-000D-0000-FFFF-FFFF00000000}"/>
  </bookViews>
  <sheets>
    <sheet name="Dashboard" sheetId="1" r:id="rId1"/>
    <sheet name="RTM" sheetId="2" r:id="rId2"/>
    <sheet name="Legend" sheetId="3" r:id="rId3"/>
  </sheets>
  <definedNames>
    <definedName name="_xlnm._FilterDatabase" localSheetId="1" hidden="1">RTM!$A$3:$N$51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35" i="1" l="1"/>
  <c r="E35" i="1" s="1"/>
  <c r="C35" i="1"/>
  <c r="D34" i="1"/>
  <c r="E34" i="1" s="1"/>
  <c r="C34" i="1"/>
  <c r="D33" i="1"/>
  <c r="E33" i="1" s="1"/>
  <c r="C33" i="1"/>
  <c r="D32" i="1"/>
  <c r="E32" i="1" s="1"/>
  <c r="C32" i="1"/>
  <c r="D31" i="1"/>
  <c r="E31" i="1" s="1"/>
  <c r="C31" i="1"/>
  <c r="D30" i="1"/>
  <c r="E30" i="1" s="1"/>
  <c r="C30" i="1"/>
  <c r="D29" i="1"/>
  <c r="E29" i="1" s="1"/>
  <c r="C29" i="1"/>
  <c r="D28" i="1"/>
  <c r="E28" i="1" s="1"/>
  <c r="C28" i="1"/>
  <c r="D27" i="1"/>
  <c r="E27" i="1" s="1"/>
  <c r="C27" i="1"/>
  <c r="D26" i="1"/>
  <c r="E26" i="1" s="1"/>
  <c r="C26" i="1"/>
  <c r="D25" i="1"/>
  <c r="E25" i="1" s="1"/>
  <c r="C25" i="1"/>
  <c r="D24" i="1"/>
  <c r="E24" i="1" s="1"/>
  <c r="C24" i="1"/>
  <c r="D19" i="1"/>
  <c r="E19" i="1" s="1"/>
  <c r="C19" i="1"/>
  <c r="D18" i="1"/>
  <c r="E18" i="1" s="1"/>
  <c r="C18" i="1"/>
  <c r="D17" i="1"/>
  <c r="E17" i="1" s="1"/>
  <c r="C17" i="1"/>
  <c r="D16" i="1"/>
  <c r="E16" i="1" s="1"/>
  <c r="C16" i="1"/>
  <c r="F11" i="1"/>
  <c r="C11" i="1"/>
  <c r="F10" i="1"/>
  <c r="C10" i="1"/>
  <c r="F9" i="1"/>
  <c r="C9" i="1"/>
  <c r="F8" i="1"/>
  <c r="C8" i="1"/>
  <c r="F7" i="1"/>
  <c r="C7" i="1"/>
  <c r="F6" i="1"/>
  <c r="C6" i="1"/>
</calcChain>
</file>

<file path=xl/sharedStrings.xml><?xml version="1.0" encoding="utf-8"?>
<sst xmlns="http://schemas.openxmlformats.org/spreadsheetml/2006/main" count="726" uniqueCount="387">
  <si>
    <t>CrowdFix Nepal — Requirements Traceability Matrix</t>
  </si>
  <si>
    <t>Live dashboard — auto-recomputes when the RTM sheet is updated</t>
  </si>
  <si>
    <t>OVERALL</t>
  </si>
  <si>
    <t>STATUS</t>
  </si>
  <si>
    <t>Total Requirements</t>
  </si>
  <si>
    <t>Not Started</t>
  </si>
  <si>
    <t>Functional (FR)</t>
  </si>
  <si>
    <t>In Progress</t>
  </si>
  <si>
    <t>Non-Functional (NFR)</t>
  </si>
  <si>
    <t>Complete</t>
  </si>
  <si>
    <t>High Priority</t>
  </si>
  <si>
    <t>Blocked</t>
  </si>
  <si>
    <t>Medium Priority</t>
  </si>
  <si>
    <t>Deferred</t>
  </si>
  <si>
    <t>Low Priority</t>
  </si>
  <si>
    <t>% Complete</t>
  </si>
  <si>
    <t>BY OWNER</t>
  </si>
  <si>
    <t>Owner</t>
  </si>
  <si>
    <t>Total</t>
  </si>
  <si>
    <t>% Done</t>
  </si>
  <si>
    <t>Pratik</t>
  </si>
  <si>
    <t>Anjali</t>
  </si>
  <si>
    <t>Dol Bahadur</t>
  </si>
  <si>
    <t>Umang</t>
  </si>
  <si>
    <t>BY BUILD PHASE</t>
  </si>
  <si>
    <t>Phase</t>
  </si>
  <si>
    <t>Phase 2</t>
  </si>
  <si>
    <t>Phase 3</t>
  </si>
  <si>
    <t>Phase 4</t>
  </si>
  <si>
    <t>Phase 7</t>
  </si>
  <si>
    <t>Phase 9</t>
  </si>
  <si>
    <t>Phase 10</t>
  </si>
  <si>
    <t>Phase 11</t>
  </si>
  <si>
    <t>Phase 12</t>
  </si>
  <si>
    <t>Phase 13</t>
  </si>
  <si>
    <t>Phase 14</t>
  </si>
  <si>
    <t>Phase 15</t>
  </si>
  <si>
    <t>Phase 16</t>
  </si>
  <si>
    <t>Update Status / Test Case ID / Last Updated / Notes columns as work progresses. The Dashboard sheet recomputes automatically.</t>
  </si>
  <si>
    <t>Req ID</t>
  </si>
  <si>
    <t>Module</t>
  </si>
  <si>
    <t>Requirement Description</t>
  </si>
  <si>
    <t>Priority</t>
  </si>
  <si>
    <t>SRS §</t>
  </si>
  <si>
    <t>Design Artifact</t>
  </si>
  <si>
    <t>Build Phase</t>
  </si>
  <si>
    <t>Backend Component</t>
  </si>
  <si>
    <t>Frontend Component</t>
  </si>
  <si>
    <t>Test Case ID</t>
  </si>
  <si>
    <t>Status</t>
  </si>
  <si>
    <t>Last Updated</t>
  </si>
  <si>
    <t>Notes</t>
  </si>
  <si>
    <t>FR-01</t>
  </si>
  <si>
    <t>Authentication</t>
  </si>
  <si>
    <t>The system shall allow users to register using email/password or OAuth (Google, Facebook)</t>
  </si>
  <si>
    <t>High</t>
  </si>
  <si>
    <t>4.1</t>
  </si>
  <si>
    <t>UC-Register; Seq 7.3</t>
  </si>
  <si>
    <t>Pratik + Anjali</t>
  </si>
  <si>
    <t>POST /api/auth/register; authController.register</t>
  </si>
  <si>
    <t>RegisterPage.jsx; AuthContext</t>
  </si>
  <si>
    <t>2026-06-11</t>
  </si>
  <si>
    <t>POST /api/auth/register live and tested on crowdfix-frontend.vercel.app June 2026</t>
  </si>
  <si>
    <t>FR-02</t>
  </si>
  <si>
    <t>The system shall validate email addresses via a verification link before activating accounts</t>
  </si>
  <si>
    <t>GET /api/auth/verify; emailService.sendVerification</t>
  </si>
  <si>
    <t>VerifyEmailPage.jsx</t>
  </si>
  <si>
    <t>GET /api/auth/verify built Phase 4; email check bypassed for deployment demo; fix verify URL pending</t>
  </si>
  <si>
    <t>FR-03</t>
  </si>
  <si>
    <t>The system shall enforce password hashing (bcrypt, min. cost factor 10)</t>
  </si>
  <si>
    <t>Security spec</t>
  </si>
  <si>
    <t>authService.hashPassword (bcrypt cost=10)</t>
  </si>
  <si>
    <t>—</t>
  </si>
  <si>
    <t>bcrypt cost=10 implemented in Phase 4</t>
  </si>
  <si>
    <t>FR-04</t>
  </si>
  <si>
    <t>The system shall support password reset via email OTP</t>
  </si>
  <si>
    <t>UC-ResetPassword</t>
  </si>
  <si>
    <t>POST /api/auth/forgot-password; POST /api/auth/reset-password</t>
  </si>
  <si>
    <t>ForgotPasswordPage.jsx; ResetPasswordPage.jsx</t>
  </si>
  <si>
    <t>forgot-password + reset-password built in Phase 4</t>
  </si>
  <si>
    <t>FR-05</t>
  </si>
  <si>
    <t>The system shall allow users to update their profile name, photo, and contact details</t>
  </si>
  <si>
    <t>Medium</t>
  </si>
  <si>
    <t>UC-EditProfile</t>
  </si>
  <si>
    <t>PATCH /api/users/me; userController.updateProfile</t>
  </si>
  <si>
    <t>ProfilePage.jsx</t>
  </si>
  <si>
    <t>Profile page not linked — clicking username in sidebar does nothing; PATCH /api/users/me not implemented</t>
  </si>
  <si>
    <t>FR-06</t>
  </si>
  <si>
    <t>Admin shall be able to deactivate or ban user accounts</t>
  </si>
  <si>
    <t>UC-ManageUsers</t>
  </si>
  <si>
    <t>PATCH /api/admin/users/:id/status (role-gated)</t>
  </si>
  <si>
    <t>AdminUsersPage.jsx</t>
  </si>
  <si>
    <t>Admin user deactivation implemented; role-gated endpoint</t>
  </si>
  <si>
    <t>FR-07</t>
  </si>
  <si>
    <t>Report Submission</t>
  </si>
  <si>
    <t>The system shall allow users to submit a report with title, category, description, photo(s), and location</t>
  </si>
  <si>
    <t>4.2</t>
  </si>
  <si>
    <t>UC-SubmitReport; Seq 7.1</t>
  </si>
  <si>
    <t>POST /api/reports (multer + validation)</t>
  </si>
  <si>
    <t>NewReportPage.jsx; ReportForm.jsx</t>
  </si>
  <si>
    <t>NewReportPage.jsx + POST /api/reports live on Vercel+Render; tested in deployment</t>
  </si>
  <si>
    <t>FR-08</t>
  </si>
  <si>
    <t>The system shall auto-detect the user's GPS coordinates and allow manual adjustment on a map</t>
  </si>
  <si>
    <t>UC-SubmitReport</t>
  </si>
  <si>
    <t>LocationPicker.jsx (Leaflet + Geolocation API)</t>
  </si>
  <si>
    <t>GPS geolocation confirmed working in live deployment June 2026</t>
  </si>
  <si>
    <t>FR-09</t>
  </si>
  <si>
    <t>The system shall support categories: Infrastructure, Sanitation, Public Safety, Utilities, Environment, Other</t>
  </si>
  <si>
    <t>ER: Report.category enum</t>
  </si>
  <si>
    <t>Phase 2 + 7</t>
  </si>
  <si>
    <t>Pratik + Umang + Anjali</t>
  </si>
  <si>
    <t>Prisma enum ReportCategory; validation middleware</t>
  </si>
  <si>
    <t>CategorySelect.jsx</t>
  </si>
  <si>
    <t>Prisma enum ReportCategory implemented in Phase 2</t>
  </si>
  <si>
    <t>FR-10</t>
  </si>
  <si>
    <t>The system shall allow up to 5 photos per report, each up to 10 MB</t>
  </si>
  <si>
    <t>Constraint 3.5</t>
  </si>
  <si>
    <t>multer fileFilter + size limit; Cloudinary upload</t>
  </si>
  <si>
    <t>PhotoUploader.jsx (max 5, 10MB validation)</t>
  </si>
  <si>
    <t>Photo upload with multer + Cloudinary; up to 5 photos 10MB limit</t>
  </si>
  <si>
    <t>FR-11</t>
  </si>
  <si>
    <t>The system shall assign a unique report ID and timestamp upon submission</t>
  </si>
  <si>
    <t>ER: Report.id, Report.createdAt</t>
  </si>
  <si>
    <t>Umang + Pratik</t>
  </si>
  <si>
    <t>Prisma cuid() default; createdAt @default(now())</t>
  </si>
  <si>
    <t>Prisma cuid() + createdAt @default(now()) in Phase 2</t>
  </si>
  <si>
    <t>FR-12</t>
  </si>
  <si>
    <t>The system shall allow draft saving for offline submissions</t>
  </si>
  <si>
    <t>Low</t>
  </si>
  <si>
    <t>Phase 7 (defer to mobile)</t>
  </si>
  <si>
    <t>Draft localStorage; mark as out-of-web-scope</t>
  </si>
  <si>
    <t>FR-13</t>
  </si>
  <si>
    <t>The system shall allow the reporter to edit a report within 30 minutes of submission</t>
  </si>
  <si>
    <t>UC-EditReport</t>
  </si>
  <si>
    <t>PATCH /api/reports/:id (time-window check)</t>
  </si>
  <si>
    <t>EditReportPage.jsx</t>
  </si>
  <si>
    <t>PATCH /api/reports/:id with 30-min time-window check; EditReportPage.jsx built</t>
  </si>
  <si>
    <t>FR-14</t>
  </si>
  <si>
    <t>Upvotes &amp; Comments</t>
  </si>
  <si>
    <t>The system shall allow registered users to upvote any report (one upvote per user per report)</t>
  </si>
  <si>
    <t>4.3</t>
  </si>
  <si>
    <t>ER: Upvote (userId+reportId unique)</t>
  </si>
  <si>
    <t>POST /api/reports/:id/upvote; unique constraint</t>
  </si>
  <si>
    <t>UpvoteButton.jsx (optimistic update)</t>
  </si>
  <si>
    <t>Upvote API + UI built Phase 9; unique constraint enforced</t>
  </si>
  <si>
    <t>FR-15</t>
  </si>
  <si>
    <t>The system shall allow users to retract their upvote</t>
  </si>
  <si>
    <t>ER: Upvote</t>
  </si>
  <si>
    <t>DELETE /api/reports/:id/upvote</t>
  </si>
  <si>
    <t>UpvoteButton.jsx (toggle)</t>
  </si>
  <si>
    <t>Upvote retract DELETE /api/reports/:id/upvote built</t>
  </si>
  <si>
    <t>FR-16</t>
  </si>
  <si>
    <t>The system shall allow registered users to post text comments on any report</t>
  </si>
  <si>
    <t>ER: Comment</t>
  </si>
  <si>
    <t>POST /api/reports/:id/comments</t>
  </si>
  <si>
    <t>CommentForm.jsx; CommentThread.jsx</t>
  </si>
  <si>
    <t>Comments POST /api/reports/:id/comments + CommentThread.jsx built</t>
  </si>
  <si>
    <t>FR-17</t>
  </si>
  <si>
    <t>The system shall allow comment authors to delete their own comments</t>
  </si>
  <si>
    <t>ER: Comment.userId</t>
  </si>
  <si>
    <t>DELETE /api/comments/:id (ownership check)</t>
  </si>
  <si>
    <t>CommentItem.jsx delete action</t>
  </si>
  <si>
    <t>Comment delete with ownership check built</t>
  </si>
  <si>
    <t>FR-18</t>
  </si>
  <si>
    <t>The system shall allow admins to moderate and remove inappropriate comments</t>
  </si>
  <si>
    <t>UC-Moderate</t>
  </si>
  <si>
    <t>DELETE /api/admin/comments/:id (role-gated)</t>
  </si>
  <si>
    <t>AdminModerationPage.jsx</t>
  </si>
  <si>
    <t>Admin comment moderation endpoint built Phase 11</t>
  </si>
  <si>
    <t>FR-19</t>
  </si>
  <si>
    <t>Status Lifecycle</t>
  </si>
  <si>
    <t>The system shall support report lifecycle statuses: Open, Assigned, In Progress, Resolved, Closed</t>
  </si>
  <si>
    <t>4.4</t>
  </si>
  <si>
    <t>ER: Report.status enum</t>
  </si>
  <si>
    <t>Phase 2 + 11</t>
  </si>
  <si>
    <t>Umang + Anjali</t>
  </si>
  <si>
    <t>Prisma enum ReportStatus; state-machine validator</t>
  </si>
  <si>
    <t>StatusPill.jsx</t>
  </si>
  <si>
    <t>Prisma enum ReportStatus implemented in Phase 2</t>
  </si>
  <si>
    <t>FR-20</t>
  </si>
  <si>
    <t>Municipal authorities shall be able to update report status from their dashboard</t>
  </si>
  <si>
    <t>UC-UpdateStatus; Seq 7.2</t>
  </si>
  <si>
    <t>PATCH /api/reports/:id/status (authority role)</t>
  </si>
  <si>
    <t>DashboardPage.jsx; StatusUpdateModal.jsx</t>
  </si>
  <si>
    <t>Authority status update PATCH /api/reports/:id/status + StatusUpdateModal.jsx built</t>
  </si>
  <si>
    <t>FR-21</t>
  </si>
  <si>
    <t>Authorities may attach resolution notes and photos when marking a report as Resolved</t>
  </si>
  <si>
    <t>ER: Report.resolutionNote, Media</t>
  </si>
  <si>
    <t>PATCH /api/reports/:id (resolution payload)</t>
  </si>
  <si>
    <t>ResolveReportModal.jsx</t>
  </si>
  <si>
    <t>Resolution notes + photo on Resolved built Phase 11</t>
  </si>
  <si>
    <t>FR-22</t>
  </si>
  <si>
    <t>The original reporter shall be notified of every status change via push and/or email notification</t>
  </si>
  <si>
    <t>UC-NotifyUser</t>
  </si>
  <si>
    <t>notificationService.onStatusChange; Nodemailer</t>
  </si>
  <si>
    <t>NotificationsPage.jsx; UnreadBadge.jsx</t>
  </si>
  <si>
    <t>NotificationsPage.jsx + notification service built Phase 12</t>
  </si>
  <si>
    <t>FR-23</t>
  </si>
  <si>
    <t>The system shall automatically close reports Resolved for more than 7 days without dispute</t>
  </si>
  <si>
    <t>Scheduled job</t>
  </si>
  <si>
    <t>Phase 15 (defer)</t>
  </si>
  <si>
    <t>cron job: closeStaleResolvedReports()</t>
  </si>
  <si>
    <t>Auto-close cron job implemented Phase 15</t>
  </si>
  <si>
    <t>FR-24</t>
  </si>
  <si>
    <t>Map View</t>
  </si>
  <si>
    <t>The system shall display all Open and In Progress reports on an interactive map</t>
  </si>
  <si>
    <t>4.5</t>
  </si>
  <si>
    <t>UC-ViewMap</t>
  </si>
  <si>
    <t>GET /api/reports?status=Open,InProgress</t>
  </si>
  <si>
    <t>MapPage.jsx (react-leaflet)</t>
  </si>
  <si>
    <t>MapPage.jsx with react-leaflet + OSM confirmed live on crowdfix-frontend.vercel.app June 2026</t>
  </si>
  <si>
    <t>FR-25</t>
  </si>
  <si>
    <t>Map pins shall be color-coded by report category</t>
  </si>
  <si>
    <t>Design tokens (mockup)</t>
  </si>
  <si>
    <t>MapPin.jsx (category→color mapping)</t>
  </si>
  <si>
    <t>Map pins color-coded by category built Phase 10</t>
  </si>
  <si>
    <t>FR-26</t>
  </si>
  <si>
    <t>Users shall be able to filter map by category, status, and date range</t>
  </si>
  <si>
    <t>UC-FilterMap</t>
  </si>
  <si>
    <t>GET /api/reports?category=&amp;status=&amp;from=&amp;to=</t>
  </si>
  <si>
    <t>MapFilters.jsx</t>
  </si>
  <si>
    <t>Map filters by category/status/date built Phase 10</t>
  </si>
  <si>
    <t>FR-27</t>
  </si>
  <si>
    <t>Clicking a map pin shall display a report summary and link to the full report</t>
  </si>
  <si>
    <t>MapPin.jsx Popup; ReportDetailPage.jsx link</t>
  </si>
  <si>
    <t>Map pin popups with report summary confirmed working in live deployment</t>
  </si>
  <si>
    <t>FR-28</t>
  </si>
  <si>
    <t>Authority Dashboard</t>
  </si>
  <si>
    <t>Authority users shall have a dedicated dashboard listing all reports in their jurisdiction</t>
  </si>
  <si>
    <t>4.6</t>
  </si>
  <si>
    <t>ER: Authority.jurisdiction</t>
  </si>
  <si>
    <t>GET /api/authority/reports (jurisdiction filter)</t>
  </si>
  <si>
    <t>DashboardPage.jsx (mockup match)</t>
  </si>
  <si>
    <t>DashboardPage.jsx live on crowdfix-frontend.vercel.app; authority role working</t>
  </si>
  <si>
    <t>FR-29</t>
  </si>
  <si>
    <t>The dashboard shall support sorting by date, upvotes, category, and status</t>
  </si>
  <si>
    <t>Prisma orderBy via query params</t>
  </si>
  <si>
    <t>DashboardTable.jsx (sortable headers)</t>
  </si>
  <si>
    <t>Dashboard sort by date/upvotes/category/status built</t>
  </si>
  <si>
    <t>FR-30</t>
  </si>
  <si>
    <t>Authorities shall be able to assign reports to specific field officers</t>
  </si>
  <si>
    <t>ER: Report.assigneeId</t>
  </si>
  <si>
    <t>POST /api/authority/assign</t>
  </si>
  <si>
    <t>AssignReportModal.jsx</t>
  </si>
  <si>
    <t>Report assignment to field officers built Phase 11</t>
  </si>
  <si>
    <t>FR-31</t>
  </si>
  <si>
    <t>Authorities shall be able to export reports as CSV or PDF</t>
  </si>
  <si>
    <t>GET /api/authority/export?format=csv|pdf (papaparse, pdfkit)</t>
  </si>
  <si>
    <t>ExportButton.jsx</t>
  </si>
  <si>
    <t>CSV/PDF export built Phase 11</t>
  </si>
  <si>
    <t>NFR-01</t>
  </si>
  <si>
    <t>Performance</t>
  </si>
  <si>
    <t>The system shall support at least 1,000 concurrent users without degradation</t>
  </si>
  <si>
    <t>5.1</t>
  </si>
  <si>
    <t>Architecture; load test</t>
  </si>
  <si>
    <t>Phase 13/15</t>
  </si>
  <si>
    <t>Connection pooling; Render autoscale</t>
  </si>
  <si>
    <t>NFR-02</t>
  </si>
  <si>
    <t>API responses shall be delivered within 2 seconds under normal load (95th percentile)</t>
  </si>
  <si>
    <t>Architecture</t>
  </si>
  <si>
    <t>DB indexes; query optimization; caching</t>
  </si>
  <si>
    <t>NFR-03</t>
  </si>
  <si>
    <t>Map tile rendering shall complete within 3 seconds on a 4G connection</t>
  </si>
  <si>
    <t>Phase 10/13</t>
  </si>
  <si>
    <t>OSM tile caching; pin clustering</t>
  </si>
  <si>
    <t>NFR-04</t>
  </si>
  <si>
    <t>Security</t>
  </si>
  <si>
    <t>All data in transit shall be encrypted using TLS 1.2 or higher</t>
  </si>
  <si>
    <t>5.2</t>
  </si>
  <si>
    <t>Deployment spec</t>
  </si>
  <si>
    <t>HTTPS on Render/Vercel (auto-managed)</t>
  </si>
  <si>
    <t>HTTPS auto-managed by Vercel (frontend) and Render (backend); confirmed live June 2026</t>
  </si>
  <si>
    <t>NFR-05</t>
  </si>
  <si>
    <t>Passwords shall be hashed with bcrypt with a minimum cost factor of 10</t>
  </si>
  <si>
    <t>Same as FR-03</t>
  </si>
  <si>
    <t>bcrypt.hash(pwd, 10)</t>
  </si>
  <si>
    <t>bcrypt cost=10 confirmed in auth service Phase 4</t>
  </si>
  <si>
    <t>NFR-06</t>
  </si>
  <si>
    <t>The system shall implement JWT-based stateless authentication with 1-hour expiry</t>
  </si>
  <si>
    <t>Auth middleware</t>
  </si>
  <si>
    <t>jsonwebtoken sign w/ expiresIn:'1h'; authMiddleware</t>
  </si>
  <si>
    <t>axios interceptor (token refresh on 401)</t>
  </si>
  <si>
    <t>JWT 1h expiry + axios interceptor implemented Phase 4+6</t>
  </si>
  <si>
    <t>NFR-07</t>
  </si>
  <si>
    <t>The system shall implement rate limiting: max 100 API requests per minute per user</t>
  </si>
  <si>
    <t>Middleware</t>
  </si>
  <si>
    <t>express-rate-limit middleware</t>
  </si>
  <si>
    <t>express-rate-limit middleware confirmed in app.js; deployed to Render June 2026</t>
  </si>
  <si>
    <t>NFR-08</t>
  </si>
  <si>
    <t>User location data shall never be exposed at street-level precision on the public map</t>
  </si>
  <si>
    <t>Map view spec</t>
  </si>
  <si>
    <t>Coordinate fuzzing service (~50m radius)</t>
  </si>
  <si>
    <t>MapPage.jsx uses fuzzed coords</t>
  </si>
  <si>
    <t>NFR-09</t>
  </si>
  <si>
    <t>Reliability</t>
  </si>
  <si>
    <t>The system shall maintain 99.5% uptime measured monthly</t>
  </si>
  <si>
    <t>5.3</t>
  </si>
  <si>
    <t>Deployment SLA</t>
  </si>
  <si>
    <t>Render free tier monitoring; health checks</t>
  </si>
  <si>
    <t>Render free tier deployed; uptime monitoring not yet configured</t>
  </si>
  <si>
    <t>NFR-10</t>
  </si>
  <si>
    <t>The system shall perform automated database backups every 24 hours</t>
  </si>
  <si>
    <t>Render PostgreSQL daily backup (built-in)</t>
  </si>
  <si>
    <t>NFR-11</t>
  </si>
  <si>
    <t>Recovery Time Objective (RTO) shall be less than 4 hours</t>
  </si>
  <si>
    <t>Documented restore runbook</t>
  </si>
  <si>
    <t>NFR-12</t>
  </si>
  <si>
    <t>Usability</t>
  </si>
  <si>
    <t>New users shall be able to submit their first report within 5 minutes without training</t>
  </si>
  <si>
    <t>5.4</t>
  </si>
  <si>
    <t>Mockup UX</t>
  </si>
  <si>
    <t>Phase 5-7</t>
  </si>
  <si>
    <t>Anjali + Dol Bahadur</t>
  </si>
  <si>
    <t>Onboarding flow; minimal required fields</t>
  </si>
  <si>
    <t>Onboarding + report form usability complete; users can submit in &lt;5min</t>
  </si>
  <si>
    <t>NFR-13</t>
  </si>
  <si>
    <t>The UI shall comply with WCAG 2.1 Level AA accessibility guidelines</t>
  </si>
  <si>
    <t>WCAG checklist</t>
  </si>
  <si>
    <t>Phase 5-12</t>
  </si>
  <si>
    <t>Semantic HTML; aria-* attrs; color contrast</t>
  </si>
  <si>
    <t>WCAG 2.1 Level AA audit completed Phase 13</t>
  </si>
  <si>
    <t>NFR-14</t>
  </si>
  <si>
    <t>The application shall support English and Korean languages (i18n-ready) [SRS as-written; project context implies Nepali — confirm with team]</t>
  </si>
  <si>
    <t>i18n</t>
  </si>
  <si>
    <t>Phase 5+</t>
  </si>
  <si>
    <t>react-i18next; en.json / ne.json bundles</t>
  </si>
  <si>
    <t>NFR-15</t>
  </si>
  <si>
    <t>Maintainability</t>
  </si>
  <si>
    <t>The codebase shall maintain a test coverage of at least 70%</t>
  </si>
  <si>
    <t>5.5</t>
  </si>
  <si>
    <t>Test plan</t>
  </si>
  <si>
    <t>Jest + Supertest (backend)</t>
  </si>
  <si>
    <t>React Testing Library (frontend)</t>
  </si>
  <si>
    <t>NFR-16</t>
  </si>
  <si>
    <t>The system shall use a CI/CD pipeline (GitHub Actions) for automated testing and deployment</t>
  </si>
  <si>
    <t>DevOps</t>
  </si>
  <si>
    <t>.github/workflows/ci.yml; deploy.yml</t>
  </si>
  <si>
    <t>NFR-17</t>
  </si>
  <si>
    <t>All API endpoints shall be documented using Swagger/OpenAPI 3.0</t>
  </si>
  <si>
    <t>API docs</t>
  </si>
  <si>
    <t>swagger-jsdoc + swagger-ui-express</t>
  </si>
  <si>
    <t>How to use this RTM</t>
  </si>
  <si>
    <t>What is a Requirements Traceability Matrix?</t>
  </si>
  <si>
    <t>An RTM links each requirement from the SRS to (1) the design artifact that covers it, (2) the code/component that implements it, (3) the test case that verifies it, and (4) its current status. It's the single source of truth for 'is this project actually delivering what the SRS promised?' — and the document the professor / project committee uses to grade requirement coverage.</t>
  </si>
  <si>
    <t>Column glossary</t>
  </si>
  <si>
    <t>Column</t>
  </si>
  <si>
    <t>Meaning</t>
  </si>
  <si>
    <t>How to update</t>
  </si>
  <si>
    <t>Matches the SRS exactly (FR-01 .. FR-31, NFR-01 .. NFR-17).</t>
  </si>
  <si>
    <t>Do not edit. If a new requirement is added to the SRS, add a new row.</t>
  </si>
  <si>
    <t>Feature area (Authentication, Report Submission, etc.).</t>
  </si>
  <si>
    <t>Set once.</t>
  </si>
  <si>
    <t>Verbatim wording from SRS §4 / §5.</t>
  </si>
  <si>
    <t>Update only if SRS text changes.</t>
  </si>
  <si>
    <t>High / Medium / Low — from SRS priority column.</t>
  </si>
  <si>
    <t>Dropdown. Change if priorities shift.</t>
  </si>
  <si>
    <t>Section number in the SRS where the requirement lives.</t>
  </si>
  <si>
    <t>Use case, sequence diagram, or ER entity that designs the requirement.</t>
  </si>
  <si>
    <t>Update as new diagrams are added.</t>
  </si>
  <si>
    <t>Roadmap phase that will implement the requirement.</t>
  </si>
  <si>
    <t>Re-plan if scheduling changes.</t>
  </si>
  <si>
    <t>Teammate(s) responsible.</t>
  </si>
  <si>
    <t>Dropdown. Reassign as needed.</t>
  </si>
  <si>
    <t>Route / controller / service that implements the requirement on the server.</t>
  </si>
  <si>
    <t>Fill in as code lands.</t>
  </si>
  <si>
    <t>React page or component that surfaces the requirement to the user.</t>
  </si>
  <si>
    <t>Identifier of the test that proves the requirement works (e.g. TC-AUTH-01).</t>
  </si>
  <si>
    <t>QA fills in during Phase 13.</t>
  </si>
  <si>
    <t>Not Started / In Progress / Complete / Blocked / Deferred.</t>
  </si>
  <si>
    <t>Dropdown — this is what drives the Dashboard.</t>
  </si>
  <si>
    <t>Date of the most recent status change. Format: YYYY-MM-DD.</t>
  </si>
  <si>
    <t>Update every time Status changes.</t>
  </si>
  <si>
    <t>Anything else — risks, decisions, blockers, links to PRs.</t>
  </si>
  <si>
    <t>Free text.</t>
  </si>
  <si>
    <t>Status color coding</t>
  </si>
  <si>
    <t>Default — work has not begun.</t>
  </si>
  <si>
    <t>Actively being built. Owner is heads-down on it now.</t>
  </si>
  <si>
    <t>Built, tested, merged to dev, ticked off the SRS.</t>
  </si>
  <si>
    <t>Cannot proceed — dependency missing / decision pending.</t>
  </si>
  <si>
    <t>Consciously pushed to a later phase or out of scope.</t>
  </si>
  <si>
    <t>Update protocol — how the team keeps this alive</t>
  </si>
  <si>
    <t>1. Whenever someone starts work on a requirement, they flip its Status to 'In Progress' and set Last Updated to today.</t>
  </si>
  <si>
    <t>2. When code lands on the dev branch, the implementer fills in Backend Component / Frontend Component with the actual file paths.</t>
  </si>
  <si>
    <t>3. QA (Umang) assigns a Test Case ID once a test exists.</t>
  </si>
  <si>
    <t>4. When a feature is merged + tested + reviewed, Status → 'Complete'. The Dashboard's % Complete ticks up automatically.</t>
  </si>
  <si>
    <t>5. If anything blocks progress, flip to 'Blocked' and note the dependency in the Notes column. Bring it up at the next standup.</t>
  </si>
  <si>
    <t>6. Commit the updated RTM to docs/ at every checkpoint: 'docs(rtm): update status after Phase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</si>
</sst>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yyyy\-mm\-dd;@"/>
  </numFmts>
  <fonts count="23" x14ac:knownFonts="1">
    <font>
      <sz val="11"/>
      <color theme="1"/>
      <name val="Calibri"/>
      <family val="2"/>
      <charset val="1"/>
    </font>
    <font>
      <b/>
      <sz val="18"/>
      <color rgb="FFA30D2C"/>
      <name val="Arial"/>
      <charset val="1"/>
    </font>
    <font>
      <i/>
      <sz val="10"/>
      <color rgb="FF78716C"/>
      <name val="Arial"/>
      <charset val="1"/>
    </font>
    <font>
      <b/>
      <sz val="12"/>
      <color rgb="FF1C1917"/>
      <name val="Arial"/>
      <charset val="1"/>
    </font>
    <font>
      <sz val="10"/>
      <name val="Arial"/>
      <charset val="1"/>
    </font>
    <font>
      <b/>
      <sz val="10"/>
      <color rgb="FF003893"/>
      <name val="Arial"/>
      <charset val="1"/>
    </font>
    <font>
      <sz val="10"/>
      <color rgb="FF78716C"/>
      <name val="Arial"/>
      <charset val="1"/>
    </font>
    <font>
      <b/>
      <sz val="10"/>
      <color rgb="FF78716C"/>
      <name val="Arial"/>
      <charset val="1"/>
    </font>
    <font>
      <sz val="10"/>
      <color rgb="FFE07B14"/>
      <name val="Arial"/>
      <charset val="1"/>
    </font>
    <font>
      <b/>
      <sz val="10"/>
      <color rgb="FFE07B14"/>
      <name val="Arial"/>
      <charset val="1"/>
    </font>
    <font>
      <sz val="10"/>
      <color rgb="FF0F766E"/>
      <name val="Arial"/>
      <charset val="1"/>
    </font>
    <font>
      <b/>
      <sz val="10"/>
      <color rgb="FF0F766E"/>
      <name val="Arial"/>
      <charset val="1"/>
    </font>
    <font>
      <sz val="10"/>
      <color rgb="FFDC143C"/>
      <name val="Arial"/>
      <charset val="1"/>
    </font>
    <font>
      <b/>
      <sz val="10"/>
      <color rgb="FFDC143C"/>
      <name val="Arial"/>
      <charset val="1"/>
    </font>
    <font>
      <sz val="10"/>
      <color rgb="FFA8A29E"/>
      <name val="Arial"/>
      <charset val="1"/>
    </font>
    <font>
      <b/>
      <sz val="10"/>
      <color rgb="FFA8A29E"/>
      <name val="Arial"/>
      <charset val="1"/>
    </font>
    <font>
      <b/>
      <sz val="10"/>
      <color rgb="FF1C1917"/>
      <name val="Arial"/>
      <charset val="1"/>
    </font>
    <font>
      <b/>
      <sz val="10"/>
      <color rgb="FFFFFFFF"/>
      <name val="Arial"/>
      <charset val="1"/>
    </font>
    <font>
      <b/>
      <sz val="16"/>
      <color rgb="FFA30D2C"/>
      <name val="Arial"/>
      <charset val="1"/>
    </font>
    <font>
      <i/>
      <sz val="9"/>
      <color rgb="FF78716C"/>
      <name val="Arial"/>
      <charset val="1"/>
    </font>
    <font>
      <b/>
      <sz val="11"/>
      <color rgb="FFFFFFFF"/>
      <name val="Arial"/>
      <charset val="1"/>
    </font>
    <font>
      <b/>
      <sz val="10"/>
      <color rgb="FFA30D2C"/>
      <name val="Arial"/>
      <charset val="1"/>
    </font>
    <font>
      <sz val="8"/>
      <name val="돋움"/>
      <family val="3"/>
      <charset val="129"/>
    </font>
  </fonts>
  <fills count="9">
    <fill>
      <patternFill patternType="none"/>
    </fill>
    <fill>
      <patternFill patternType="gray125"/>
    </fill>
    <fill>
      <patternFill patternType="solid">
        <fgColor rgb="FFFBF8F3"/>
        <bgColor rgb="FFF5F5F4"/>
      </patternFill>
    </fill>
    <fill>
      <patternFill patternType="solid">
        <fgColor rgb="FF003893"/>
        <bgColor rgb="FF333399"/>
      </patternFill>
    </fill>
    <fill>
      <patternFill patternType="solid">
        <fgColor rgb="FFFFFFFF"/>
        <bgColor rgb="FFFBF8F3"/>
      </patternFill>
    </fill>
    <fill>
      <patternFill patternType="solid">
        <fgColor rgb="FFFEF3E2"/>
        <bgColor rgb="FFFDECEF"/>
      </patternFill>
    </fill>
    <fill>
      <patternFill patternType="solid">
        <fgColor rgb="FFD1FAE5"/>
        <bgColor rgb="FFF5F5F4"/>
      </patternFill>
    </fill>
    <fill>
      <patternFill patternType="solid">
        <fgColor rgb="FFFDECEF"/>
        <bgColor rgb="FFFEF3E2"/>
      </patternFill>
    </fill>
    <fill>
      <patternFill patternType="solid">
        <fgColor rgb="FFF5F5F4"/>
        <bgColor rgb="FFFBF8F3"/>
      </patternFill>
    </fill>
  </fills>
  <borders count="2">
    <border>
      <left/>
      <right/>
      <top/>
      <bottom/>
      <diagonal/>
    </border>
    <border>
      <left style="thin">
        <color rgb="FFDDD1BD"/>
      </left>
      <right style="thin">
        <color rgb="FFDDD1BD"/>
      </right>
      <top style="thin">
        <color rgb="FFDDD1BD"/>
      </top>
      <bottom style="thin">
        <color rgb="FFDDD1BD"/>
      </bottom>
      <diagonal/>
    </border>
  </borders>
  <cellStyleXfs count="1">
    <xf numFmtId="0" fontId="0" fillId="0" borderId="0"/>
  </cellStyleXfs>
  <cellXfs count="40">
    <xf numFmtId="0" fontId="0" fillId="0" borderId="0" xfId="0"/>
    <xf numFmtId="0" fontId="4" fillId="0" borderId="1" xfId="0" applyFont="1" applyBorder="1" applyAlignment="1">
      <alignment horizontal="left" vertical="top" wrapText="1"/>
    </xf>
    <xf numFmtId="0" fontId="4" fillId="0" borderId="0" xfId="0" applyFont="1" applyBorder="1" applyAlignment="1">
      <alignment vertical="top" wrapText="1"/>
    </xf>
    <xf numFmtId="0" fontId="19" fillId="0" borderId="0" xfId="0" applyFont="1" applyBorder="1" applyAlignment="1"/>
    <xf numFmtId="0" fontId="18" fillId="0" borderId="0" xfId="0" applyFont="1" applyBorder="1" applyAlignment="1"/>
    <xf numFmtId="0" fontId="2" fillId="0" borderId="0" xfId="0" applyFont="1" applyBorder="1" applyAlignment="1"/>
    <xf numFmtId="0" fontId="1" fillId="0" borderId="0" xfId="0" applyFont="1" applyBorder="1" applyAlignment="1"/>
    <xf numFmtId="0" fontId="0" fillId="0" borderId="0" xfId="0" applyAlignment="1"/>
    <xf numFmtId="0" fontId="3" fillId="2" borderId="0" xfId="0" applyFont="1" applyFill="1" applyAlignment="1"/>
    <xf numFmtId="0" fontId="4" fillId="0" borderId="0" xfId="0" applyFont="1" applyAlignment="1"/>
    <xf numFmtId="0" fontId="5" fillId="0" borderId="0" xfId="0" applyFont="1" applyAlignment="1">
      <alignment horizontal="right"/>
    </xf>
    <xf numFmtId="0" fontId="6" fillId="0" borderId="0" xfId="0" applyFont="1" applyAlignment="1"/>
    <xf numFmtId="0" fontId="7" fillId="0" borderId="0" xfId="0" applyFont="1" applyAlignment="1">
      <alignment horizontal="right"/>
    </xf>
    <xf numFmtId="0" fontId="8" fillId="0" borderId="0" xfId="0" applyFont="1" applyAlignment="1"/>
    <xf numFmtId="0" fontId="9" fillId="0" borderId="0" xfId="0" applyFont="1" applyAlignment="1">
      <alignment horizontal="right"/>
    </xf>
    <xf numFmtId="0" fontId="10" fillId="0" borderId="0" xfId="0" applyFont="1" applyAlignment="1"/>
    <xf numFmtId="0" fontId="11" fillId="0" borderId="0" xfId="0" applyFont="1" applyAlignment="1">
      <alignment horizontal="right"/>
    </xf>
    <xf numFmtId="0" fontId="12" fillId="0" borderId="0" xfId="0" applyFont="1" applyAlignment="1"/>
    <xf numFmtId="0" fontId="13" fillId="0" borderId="0" xfId="0" applyFont="1" applyAlignment="1">
      <alignment horizontal="right"/>
    </xf>
    <xf numFmtId="0" fontId="14" fillId="0" borderId="0" xfId="0" applyFont="1" applyAlignment="1"/>
    <xf numFmtId="0" fontId="15" fillId="0" borderId="0" xfId="0" applyFont="1" applyAlignment="1">
      <alignment horizontal="right"/>
    </xf>
    <xf numFmtId="0" fontId="16" fillId="0" borderId="0" xfId="0" applyFont="1" applyAlignment="1"/>
    <xf numFmtId="176" fontId="5" fillId="0" borderId="0" xfId="0" applyNumberFormat="1" applyFont="1" applyAlignment="1">
      <alignment horizontal="right"/>
    </xf>
    <xf numFmtId="0" fontId="17" fillId="3" borderId="0" xfId="0" applyFont="1" applyFill="1" applyAlignment="1">
      <alignment horizontal="center"/>
    </xf>
    <xf numFmtId="0" fontId="20" fillId="3" borderId="1" xfId="0" applyFont="1" applyFill="1" applyBorder="1" applyAlignment="1">
      <alignment horizontal="center" vertical="center" wrapText="1"/>
    </xf>
    <xf numFmtId="0" fontId="21"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4" fillId="2" borderId="1" xfId="0" applyFont="1" applyFill="1" applyBorder="1" applyAlignment="1">
      <alignment horizontal="center" vertical="top" wrapText="1"/>
    </xf>
    <xf numFmtId="177" fontId="4" fillId="2" borderId="1" xfId="0" applyNumberFormat="1" applyFont="1" applyFill="1" applyBorder="1" applyAlignment="1">
      <alignment horizontal="left" vertical="top" wrapText="1"/>
    </xf>
    <xf numFmtId="0" fontId="21"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177" fontId="4" fillId="0" borderId="1" xfId="0" applyNumberFormat="1" applyFont="1" applyBorder="1" applyAlignment="1">
      <alignment horizontal="left" vertical="top" wrapText="1"/>
    </xf>
    <xf numFmtId="177" fontId="0" fillId="0" borderId="0" xfId="0" applyNumberFormat="1" applyAlignment="1"/>
    <xf numFmtId="0" fontId="3" fillId="0" borderId="0" xfId="0" applyFont="1" applyAlignment="1"/>
    <xf numFmtId="0" fontId="7"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21" fillId="7" borderId="1" xfId="0" applyFont="1" applyFill="1" applyBorder="1" applyAlignment="1">
      <alignment horizontal="center" vertical="center"/>
    </xf>
    <xf numFmtId="0" fontId="7" fillId="8" borderId="1" xfId="0" applyFont="1" applyFill="1" applyBorder="1" applyAlignment="1">
      <alignment horizontal="center" vertical="center"/>
    </xf>
  </cellXfs>
  <cellStyles count="1">
    <cellStyle name="Normal" xfId="0" builtinId="0"/>
  </cellStyles>
  <dxfs count="8">
    <dxf>
      <font>
        <sz val="10"/>
        <color rgb="FF78716C"/>
        <name val="Arial"/>
        <charset val="1"/>
      </font>
    </dxf>
    <dxf>
      <font>
        <b/>
        <sz val="10"/>
        <color rgb="FFE07B14"/>
        <name val="Arial"/>
        <charset val="1"/>
      </font>
    </dxf>
    <dxf>
      <font>
        <b/>
        <sz val="10"/>
        <color rgb="FFA30D2C"/>
        <name val="Arial"/>
        <charset val="1"/>
      </font>
    </dxf>
    <dxf>
      <font>
        <sz val="10"/>
        <color rgb="FF78716C"/>
        <name val="Arial"/>
        <charset val="1"/>
      </font>
      <fill>
        <patternFill>
          <bgColor rgb="FFFFFFFF"/>
        </patternFill>
      </fill>
    </dxf>
    <dxf>
      <font>
        <b/>
        <sz val="10"/>
        <color rgb="FF78716C"/>
        <name val="Arial"/>
        <charset val="1"/>
      </font>
      <fill>
        <patternFill>
          <bgColor rgb="FFF5F5F4"/>
        </patternFill>
      </fill>
    </dxf>
    <dxf>
      <font>
        <b/>
        <sz val="10"/>
        <color rgb="FFA30D2C"/>
        <name val="Arial"/>
        <charset val="1"/>
      </font>
      <fill>
        <patternFill>
          <bgColor rgb="FFFDECEF"/>
        </patternFill>
      </fill>
    </dxf>
    <dxf>
      <font>
        <b/>
        <sz val="10"/>
        <color rgb="FFE07B14"/>
        <name val="Arial"/>
        <charset val="1"/>
      </font>
      <fill>
        <patternFill>
          <bgColor rgb="FFFEF3E2"/>
        </patternFill>
      </fill>
    </dxf>
    <dxf>
      <font>
        <b/>
        <sz val="10"/>
        <color rgb="FF0F766E"/>
        <name val="Arial"/>
        <charset val="1"/>
      </font>
      <fill>
        <patternFill>
          <bgColor rgb="FFD1FAE5"/>
        </patternFill>
      </fill>
    </dxf>
  </dxfs>
  <tableStyles count="0" defaultTableStyle="TableStyleMedium2" defaultPivotStyle="PivotStyleLight16"/>
  <colors>
    <indexedColors>
      <rgbColor rgb="FF000000"/>
      <rgbColor rgb="FFFFFFFF"/>
      <rgbColor rgb="FFDC143C"/>
      <rgbColor rgb="FF00FF00"/>
      <rgbColor rgb="FF0000FF"/>
      <rgbColor rgb="FFFFFF00"/>
      <rgbColor rgb="FFFF00FF"/>
      <rgbColor rgb="FF00FFFF"/>
      <rgbColor rgb="FFA30D2C"/>
      <rgbColor rgb="FF008000"/>
      <rgbColor rgb="FF000080"/>
      <rgbColor rgb="FF808000"/>
      <rgbColor rgb="FF800080"/>
      <rgbColor rgb="FF0F766E"/>
      <rgbColor rgb="FFDDD1BD"/>
      <rgbColor rgb="FF78716C"/>
      <rgbColor rgb="FF9999FF"/>
      <rgbColor rgb="FF993366"/>
      <rgbColor rgb="FFFEF3E2"/>
      <rgbColor rgb="FFF5F5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F8F3"/>
      <rgbColor rgb="FFD1FAE5"/>
      <rgbColor rgb="FFFDECEF"/>
      <rgbColor rgb="FF99CCFF"/>
      <rgbColor rgb="FFFF99CC"/>
      <rgbColor rgb="FFCC99FF"/>
      <rgbColor rgb="FFFFCC99"/>
      <rgbColor rgb="FF3366FF"/>
      <rgbColor rgb="FF33CCCC"/>
      <rgbColor rgb="FF99CC00"/>
      <rgbColor rgb="FFFFCC00"/>
      <rgbColor rgb="FFFF9900"/>
      <rgbColor rgb="FFE07B14"/>
      <rgbColor rgb="FF666699"/>
      <rgbColor rgb="FFA8A29E"/>
      <rgbColor rgb="FF003893"/>
      <rgbColor rgb="FF339966"/>
      <rgbColor rgb="FF003300"/>
      <rgbColor rgb="FF1C1917"/>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5"/>
  <sheetViews>
    <sheetView showGridLines="0" topLeftCell="A10" zoomScaleNormal="100" workbookViewId="0"/>
  </sheetViews>
  <sheetFormatPr defaultColWidth="8.6640625" defaultRowHeight="14.25" x14ac:dyDescent="0.45"/>
  <cols>
    <col min="1" max="1" width="2" style="7" customWidth="1"/>
    <col min="2" max="2" width="24" style="7" customWidth="1"/>
    <col min="3" max="4" width="14" style="7" customWidth="1"/>
    <col min="5" max="5" width="22" style="7" customWidth="1"/>
    <col min="6" max="6" width="14" style="7" customWidth="1"/>
    <col min="7" max="7" width="8" style="7" customWidth="1"/>
  </cols>
  <sheetData>
    <row r="2" spans="2:7" ht="21.75" customHeight="1" x14ac:dyDescent="0.6">
      <c r="B2" s="6" t="s">
        <v>0</v>
      </c>
      <c r="C2" s="6"/>
      <c r="D2" s="6"/>
      <c r="E2" s="6"/>
      <c r="F2" s="6"/>
      <c r="G2" s="6"/>
    </row>
    <row r="3" spans="2:7" ht="15" customHeight="1" x14ac:dyDescent="0.45">
      <c r="B3" s="5" t="s">
        <v>1</v>
      </c>
      <c r="C3" s="5"/>
      <c r="D3" s="5"/>
      <c r="E3" s="5"/>
      <c r="F3" s="5"/>
      <c r="G3" s="5"/>
    </row>
    <row r="5" spans="2:7" ht="15" customHeight="1" x14ac:dyDescent="0.45">
      <c r="B5" s="8" t="s">
        <v>2</v>
      </c>
      <c r="E5" s="8" t="s">
        <v>3</v>
      </c>
    </row>
    <row r="6" spans="2:7" ht="15" customHeight="1" x14ac:dyDescent="0.45">
      <c r="B6" s="9" t="s">
        <v>4</v>
      </c>
      <c r="C6" s="10">
        <f>COUNTA(RTM!A4:A51)</f>
        <v>48</v>
      </c>
      <c r="E6" s="11" t="s">
        <v>5</v>
      </c>
      <c r="F6" s="12">
        <f>COUNTIF(RTM!L4:L51,"Not Started")</f>
        <v>12</v>
      </c>
    </row>
    <row r="7" spans="2:7" ht="15" customHeight="1" x14ac:dyDescent="0.45">
      <c r="B7" s="9" t="s">
        <v>6</v>
      </c>
      <c r="C7" s="10">
        <f>COUNTIF(RTM!A4:A51,"FR-*")</f>
        <v>31</v>
      </c>
      <c r="E7" s="13" t="s">
        <v>7</v>
      </c>
      <c r="F7" s="14">
        <f>COUNTIF(RTM!L4:L51,"In Progress")</f>
        <v>2</v>
      </c>
    </row>
    <row r="8" spans="2:7" ht="15" customHeight="1" x14ac:dyDescent="0.45">
      <c r="B8" s="9" t="s">
        <v>8</v>
      </c>
      <c r="C8" s="10">
        <f>COUNTIF(RTM!A4:A51,"NFR-*")</f>
        <v>17</v>
      </c>
      <c r="E8" s="15" t="s">
        <v>9</v>
      </c>
      <c r="F8" s="16">
        <f>COUNTIF(RTM!L4:L51,"Complete")</f>
        <v>34</v>
      </c>
    </row>
    <row r="9" spans="2:7" ht="15" customHeight="1" x14ac:dyDescent="0.45">
      <c r="B9" s="9" t="s">
        <v>10</v>
      </c>
      <c r="C9" s="10">
        <f>COUNTIF(RTM!D4:D51,"High")</f>
        <v>30</v>
      </c>
      <c r="E9" s="17" t="s">
        <v>11</v>
      </c>
      <c r="F9" s="18">
        <f>COUNTIF(RTM!L4:L51,"Blocked")</f>
        <v>0</v>
      </c>
    </row>
    <row r="10" spans="2:7" ht="15" customHeight="1" x14ac:dyDescent="0.45">
      <c r="B10" s="9" t="s">
        <v>12</v>
      </c>
      <c r="C10" s="10">
        <f>COUNTIF(RTM!D4:D51,"Medium")</f>
        <v>14</v>
      </c>
      <c r="E10" s="19" t="s">
        <v>13</v>
      </c>
      <c r="F10" s="20">
        <f>COUNTIF(RTM!L4:L51,"Deferred")</f>
        <v>0</v>
      </c>
    </row>
    <row r="11" spans="2:7" ht="15" customHeight="1" x14ac:dyDescent="0.45">
      <c r="B11" s="9" t="s">
        <v>14</v>
      </c>
      <c r="C11" s="10">
        <f>COUNTIF(RTM!D4:D51,"Low")</f>
        <v>4</v>
      </c>
      <c r="E11" s="21" t="s">
        <v>15</v>
      </c>
      <c r="F11" s="22">
        <f>COUNTIF(RTM!L4:L51,"Complete")/COUNTA(RTM!A4:A51)</f>
        <v>0.70833333333333337</v>
      </c>
    </row>
    <row r="14" spans="2:7" ht="15" customHeight="1" x14ac:dyDescent="0.45">
      <c r="B14" s="8" t="s">
        <v>16</v>
      </c>
    </row>
    <row r="15" spans="2:7" ht="15" customHeight="1" x14ac:dyDescent="0.45">
      <c r="B15" s="23" t="s">
        <v>17</v>
      </c>
      <c r="C15" s="23" t="s">
        <v>18</v>
      </c>
      <c r="D15" s="23" t="s">
        <v>9</v>
      </c>
      <c r="E15" s="23" t="s">
        <v>19</v>
      </c>
    </row>
    <row r="16" spans="2:7" ht="15" customHeight="1" x14ac:dyDescent="0.45">
      <c r="B16" s="9" t="s">
        <v>20</v>
      </c>
      <c r="C16" s="9">
        <f>COUNTIF(RTM!H4:H51,"*Pratik*")</f>
        <v>35</v>
      </c>
      <c r="D16" s="9">
        <f>COUNTIFS(RTM!H4:H51,"*Pratik*",RTM!L4:L51,"Complete")</f>
        <v>26</v>
      </c>
      <c r="E16" s="22">
        <f>IFERROR(D16/C16,0)</f>
        <v>0.74285714285714288</v>
      </c>
    </row>
    <row r="17" spans="2:5" ht="15" customHeight="1" x14ac:dyDescent="0.45">
      <c r="B17" s="9" t="s">
        <v>21</v>
      </c>
      <c r="C17" s="9">
        <f>COUNTIF(RTM!H4:H51,"*Anjali*")</f>
        <v>27</v>
      </c>
      <c r="D17" s="9">
        <f>COUNTIFS(RTM!H4:H51,"*Anjali*",RTM!L4:L51,"Complete")</f>
        <v>23</v>
      </c>
      <c r="E17" s="22">
        <f>IFERROR(D17/C17,0)</f>
        <v>0.85185185185185186</v>
      </c>
    </row>
    <row r="18" spans="2:5" ht="15" customHeight="1" x14ac:dyDescent="0.45">
      <c r="B18" s="9" t="s">
        <v>22</v>
      </c>
      <c r="C18" s="9">
        <f>COUNTIF(RTM!H4:H51,"*Dol Bahadur*")</f>
        <v>8</v>
      </c>
      <c r="D18" s="9">
        <f>COUNTIFS(RTM!H4:H51,"*Dol Bahadur*",RTM!L4:L51,"Complete")</f>
        <v>6</v>
      </c>
      <c r="E18" s="22">
        <f>IFERROR(D18/C18,0)</f>
        <v>0.75</v>
      </c>
    </row>
    <row r="19" spans="2:5" ht="15" customHeight="1" x14ac:dyDescent="0.45">
      <c r="B19" s="9" t="s">
        <v>23</v>
      </c>
      <c r="C19" s="9">
        <f>COUNTIF(RTM!H4:H51,"*Umang*")</f>
        <v>4</v>
      </c>
      <c r="D19" s="9">
        <f>COUNTIFS(RTM!H4:H51,"*Umang*",RTM!L4:L51,"Complete")</f>
        <v>3</v>
      </c>
      <c r="E19" s="22">
        <f>IFERROR(D19/C19,0)</f>
        <v>0.75</v>
      </c>
    </row>
    <row r="22" spans="2:5" ht="15" customHeight="1" x14ac:dyDescent="0.45">
      <c r="B22" s="8" t="s">
        <v>24</v>
      </c>
    </row>
    <row r="23" spans="2:5" ht="15" customHeight="1" x14ac:dyDescent="0.45">
      <c r="B23" s="23" t="s">
        <v>25</v>
      </c>
      <c r="C23" s="23" t="s">
        <v>18</v>
      </c>
      <c r="D23" s="23" t="s">
        <v>9</v>
      </c>
      <c r="E23" s="23" t="s">
        <v>19</v>
      </c>
    </row>
    <row r="24" spans="2:5" ht="15" customHeight="1" x14ac:dyDescent="0.45">
      <c r="B24" s="9" t="s">
        <v>26</v>
      </c>
      <c r="C24" s="9">
        <f>COUNTIF(RTM!G4:G51,"*Phase 2*")</f>
        <v>3</v>
      </c>
      <c r="D24" s="9">
        <f>COUNTIFS(RTM!G4:G51,"*Phase 2*",RTM!L4:L51,"Complete")</f>
        <v>3</v>
      </c>
      <c r="E24" s="22">
        <f t="shared" ref="E24:E35" si="0">IFERROR(D24/C24,0)</f>
        <v>1</v>
      </c>
    </row>
    <row r="25" spans="2:5" ht="15" customHeight="1" x14ac:dyDescent="0.45">
      <c r="B25" s="9" t="s">
        <v>27</v>
      </c>
      <c r="C25" s="9">
        <f>COUNTIF(RTM!G4:G51,"*Phase 3*")</f>
        <v>1</v>
      </c>
      <c r="D25" s="9">
        <f>COUNTIFS(RTM!G4:G51,"*Phase 3*",RTM!L4:L51,"Complete")</f>
        <v>1</v>
      </c>
      <c r="E25" s="22">
        <f t="shared" si="0"/>
        <v>1</v>
      </c>
    </row>
    <row r="26" spans="2:5" ht="15" customHeight="1" x14ac:dyDescent="0.45">
      <c r="B26" s="9" t="s">
        <v>28</v>
      </c>
      <c r="C26" s="9">
        <f>COUNTIF(RTM!G4:G51,"*Phase 4*")</f>
        <v>7</v>
      </c>
      <c r="D26" s="9">
        <f>COUNTIFS(RTM!G4:G51,"*Phase 4*",RTM!L4:L51,"Complete")</f>
        <v>5</v>
      </c>
      <c r="E26" s="22">
        <f t="shared" si="0"/>
        <v>0.7142857142857143</v>
      </c>
    </row>
    <row r="27" spans="2:5" ht="15" customHeight="1" x14ac:dyDescent="0.45">
      <c r="B27" s="9" t="s">
        <v>29</v>
      </c>
      <c r="C27" s="9">
        <f>COUNTIF(RTM!G4:G51,"*Phase 7*")</f>
        <v>5</v>
      </c>
      <c r="D27" s="9">
        <f>COUNTIFS(RTM!G4:G51,"*Phase 7*",RTM!L4:L51,"Complete")</f>
        <v>4</v>
      </c>
      <c r="E27" s="22">
        <f t="shared" si="0"/>
        <v>0.8</v>
      </c>
    </row>
    <row r="28" spans="2:5" ht="15" customHeight="1" x14ac:dyDescent="0.45">
      <c r="B28" s="9" t="s">
        <v>30</v>
      </c>
      <c r="C28" s="9">
        <f>COUNTIF(RTM!G4:G51,"*Phase 9*")</f>
        <v>4</v>
      </c>
      <c r="D28" s="9">
        <f>COUNTIFS(RTM!G4:G51,"*Phase 9*",RTM!L4:L51,"Complete")</f>
        <v>4</v>
      </c>
      <c r="E28" s="22">
        <f t="shared" si="0"/>
        <v>1</v>
      </c>
    </row>
    <row r="29" spans="2:5" ht="15" customHeight="1" x14ac:dyDescent="0.45">
      <c r="B29" s="9" t="s">
        <v>31</v>
      </c>
      <c r="C29" s="9">
        <f>COUNTIF(RTM!G4:G51,"*Phase 10*")</f>
        <v>6</v>
      </c>
      <c r="D29" s="9">
        <f>COUNTIFS(RTM!G4:G51,"*Phase 10*",RTM!L4:L51,"Complete")</f>
        <v>4</v>
      </c>
      <c r="E29" s="22">
        <f t="shared" si="0"/>
        <v>0.66666666666666663</v>
      </c>
    </row>
    <row r="30" spans="2:5" ht="15" customHeight="1" x14ac:dyDescent="0.45">
      <c r="B30" s="9" t="s">
        <v>32</v>
      </c>
      <c r="C30" s="9">
        <f>COUNTIF(RTM!G4:G51,"*Phase 11*")</f>
        <v>8</v>
      </c>
      <c r="D30" s="9">
        <f>COUNTIFS(RTM!G4:G51,"*Phase 11*",RTM!L4:L51,"Complete")</f>
        <v>8</v>
      </c>
      <c r="E30" s="22">
        <f t="shared" si="0"/>
        <v>1</v>
      </c>
    </row>
    <row r="31" spans="2:5" ht="15" customHeight="1" x14ac:dyDescent="0.45">
      <c r="B31" s="9" t="s">
        <v>33</v>
      </c>
      <c r="C31" s="9">
        <f>COUNTIF(RTM!G4:G51,"*Phase 12*")</f>
        <v>1</v>
      </c>
      <c r="D31" s="9">
        <f>COUNTIFS(RTM!G4:G51,"*Phase 12*",RTM!L4:L51,"Complete")</f>
        <v>1</v>
      </c>
      <c r="E31" s="22">
        <f t="shared" si="0"/>
        <v>1</v>
      </c>
    </row>
    <row r="32" spans="2:5" ht="15" customHeight="1" x14ac:dyDescent="0.45">
      <c r="B32" s="9" t="s">
        <v>34</v>
      </c>
      <c r="C32" s="9">
        <f>COUNTIF(RTM!G4:G51,"*Phase 13*")</f>
        <v>3</v>
      </c>
      <c r="D32" s="9">
        <f>COUNTIFS(RTM!G4:G51,"*Phase 13*",RTM!L4:L51,"Complete")</f>
        <v>0</v>
      </c>
      <c r="E32" s="22">
        <f t="shared" si="0"/>
        <v>0</v>
      </c>
    </row>
    <row r="33" spans="2:5" ht="15" customHeight="1" x14ac:dyDescent="0.45">
      <c r="B33" s="9" t="s">
        <v>35</v>
      </c>
      <c r="C33" s="9">
        <f>COUNTIF(RTM!G4:G51,"*Phase 14*")</f>
        <v>1</v>
      </c>
      <c r="D33" s="9">
        <f>COUNTIFS(RTM!G4:G51,"*Phase 14*",RTM!L4:L51,"Complete")</f>
        <v>0</v>
      </c>
      <c r="E33" s="22">
        <f t="shared" si="0"/>
        <v>0</v>
      </c>
    </row>
    <row r="34" spans="2:5" ht="15" customHeight="1" x14ac:dyDescent="0.45">
      <c r="B34" s="9" t="s">
        <v>36</v>
      </c>
      <c r="C34" s="9">
        <f>COUNTIF(RTM!G4:G51,"*Phase 15*")</f>
        <v>5</v>
      </c>
      <c r="D34" s="9">
        <f>COUNTIFS(RTM!G4:G51,"*Phase 15*",RTM!L4:L51,"Complete")</f>
        <v>2</v>
      </c>
      <c r="E34" s="22">
        <f t="shared" si="0"/>
        <v>0.4</v>
      </c>
    </row>
    <row r="35" spans="2:5" ht="15" customHeight="1" x14ac:dyDescent="0.45">
      <c r="B35" s="9" t="s">
        <v>37</v>
      </c>
      <c r="C35" s="9">
        <f>COUNTIF(RTM!G4:G51,"*Phase 16*")</f>
        <v>1</v>
      </c>
      <c r="D35" s="9">
        <f>COUNTIFS(RTM!G4:G51,"*Phase 16*",RTM!L4:L51,"Complete")</f>
        <v>0</v>
      </c>
      <c r="E35" s="22">
        <f t="shared" si="0"/>
        <v>0</v>
      </c>
    </row>
  </sheetData>
  <mergeCells count="2">
    <mergeCell ref="B2:G2"/>
    <mergeCell ref="B3:G3"/>
  </mergeCells>
  <phoneticPr fontId="22" type="noConversion"/>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2"/>
  <sheetViews>
    <sheetView showGridLines="0" tabSelected="1" zoomScaleNormal="100" workbookViewId="0">
      <pane xSplit="3" ySplit="3" topLeftCell="J48" activePane="bottomRight" state="frozen"/>
      <selection pane="topRight" activeCell="J1" sqref="J1"/>
      <selection pane="bottomLeft" activeCell="A48" sqref="A48"/>
      <selection pane="bottomRight" activeCell="M40" sqref="M40"/>
    </sheetView>
  </sheetViews>
  <sheetFormatPr defaultColWidth="8.6640625" defaultRowHeight="14.25" x14ac:dyDescent="0.45"/>
  <cols>
    <col min="1" max="1" width="9" style="7" customWidth="1"/>
    <col min="2" max="2" width="18" style="7" customWidth="1"/>
    <col min="3" max="3" width="55" style="7" customWidth="1"/>
    <col min="4" max="4" width="10" style="7" customWidth="1"/>
    <col min="5" max="5" width="8" style="7" customWidth="1"/>
    <col min="6" max="6" width="22" style="7" customWidth="1"/>
    <col min="7" max="7" width="14" style="7" customWidth="1"/>
    <col min="8" max="8" width="16" style="7" customWidth="1"/>
    <col min="9" max="10" width="38" style="7" customWidth="1"/>
    <col min="11" max="13" width="14" style="7" customWidth="1"/>
    <col min="14" max="14" width="30" style="7" customWidth="1"/>
  </cols>
  <sheetData>
    <row r="1" spans="1:14" ht="19.5" customHeight="1" x14ac:dyDescent="0.6">
      <c r="A1" s="4" t="s">
        <v>0</v>
      </c>
      <c r="B1" s="4"/>
      <c r="C1" s="4"/>
      <c r="D1" s="4"/>
      <c r="E1" s="4"/>
      <c r="F1" s="4"/>
      <c r="G1" s="4"/>
      <c r="H1" s="4"/>
      <c r="I1" s="4"/>
      <c r="J1" s="4"/>
      <c r="K1" s="4"/>
      <c r="L1" s="4"/>
      <c r="M1" s="4"/>
      <c r="N1" s="4"/>
    </row>
    <row r="2" spans="1:14" ht="15" customHeight="1" x14ac:dyDescent="0.45">
      <c r="A2" s="3" t="s">
        <v>38</v>
      </c>
      <c r="B2" s="3"/>
      <c r="C2" s="3"/>
      <c r="D2" s="3"/>
      <c r="E2" s="3"/>
      <c r="F2" s="3"/>
      <c r="G2" s="3"/>
      <c r="H2" s="3"/>
      <c r="I2" s="3"/>
      <c r="J2" s="3"/>
      <c r="K2" s="3"/>
      <c r="L2" s="3"/>
      <c r="M2" s="3"/>
      <c r="N2" s="3"/>
    </row>
    <row r="3" spans="1:14" ht="36" customHeight="1" x14ac:dyDescent="0.45">
      <c r="A3" s="24" t="s">
        <v>39</v>
      </c>
      <c r="B3" s="24" t="s">
        <v>40</v>
      </c>
      <c r="C3" s="24" t="s">
        <v>41</v>
      </c>
      <c r="D3" s="24" t="s">
        <v>42</v>
      </c>
      <c r="E3" s="24" t="s">
        <v>43</v>
      </c>
      <c r="F3" s="24" t="s">
        <v>44</v>
      </c>
      <c r="G3" s="24" t="s">
        <v>45</v>
      </c>
      <c r="H3" s="24" t="s">
        <v>17</v>
      </c>
      <c r="I3" s="24" t="s">
        <v>46</v>
      </c>
      <c r="J3" s="24" t="s">
        <v>47</v>
      </c>
      <c r="K3" s="24" t="s">
        <v>48</v>
      </c>
      <c r="L3" s="24" t="s">
        <v>49</v>
      </c>
      <c r="M3" s="24" t="s">
        <v>50</v>
      </c>
      <c r="N3" s="24" t="s">
        <v>51</v>
      </c>
    </row>
    <row r="4" spans="1:14" ht="48" customHeight="1" x14ac:dyDescent="0.45">
      <c r="A4" s="25" t="s">
        <v>52</v>
      </c>
      <c r="B4" s="26" t="s">
        <v>53</v>
      </c>
      <c r="C4" s="26" t="s">
        <v>54</v>
      </c>
      <c r="D4" s="27" t="s">
        <v>55</v>
      </c>
      <c r="E4" s="26" t="s">
        <v>56</v>
      </c>
      <c r="F4" s="26" t="s">
        <v>57</v>
      </c>
      <c r="G4" s="27" t="s">
        <v>28</v>
      </c>
      <c r="H4" s="26" t="s">
        <v>58</v>
      </c>
      <c r="I4" s="26" t="s">
        <v>59</v>
      </c>
      <c r="J4" s="26" t="s">
        <v>60</v>
      </c>
      <c r="K4" s="26"/>
      <c r="L4" s="27" t="s">
        <v>9</v>
      </c>
      <c r="M4" s="28" t="s">
        <v>61</v>
      </c>
      <c r="N4" s="26" t="s">
        <v>62</v>
      </c>
    </row>
    <row r="5" spans="1:14" ht="48" customHeight="1" x14ac:dyDescent="0.45">
      <c r="A5" s="29" t="s">
        <v>63</v>
      </c>
      <c r="B5" s="30" t="s">
        <v>53</v>
      </c>
      <c r="C5" s="30" t="s">
        <v>64</v>
      </c>
      <c r="D5" s="31" t="s">
        <v>55</v>
      </c>
      <c r="E5" s="30" t="s">
        <v>56</v>
      </c>
      <c r="F5" s="30" t="s">
        <v>57</v>
      </c>
      <c r="G5" s="31" t="s">
        <v>28</v>
      </c>
      <c r="H5" s="30" t="s">
        <v>58</v>
      </c>
      <c r="I5" s="30" t="s">
        <v>65</v>
      </c>
      <c r="J5" s="30" t="s">
        <v>66</v>
      </c>
      <c r="K5" s="30"/>
      <c r="L5" s="31" t="s">
        <v>7</v>
      </c>
      <c r="M5" s="28" t="s">
        <v>61</v>
      </c>
      <c r="N5" s="30" t="s">
        <v>67</v>
      </c>
    </row>
    <row r="6" spans="1:14" ht="48" customHeight="1" x14ac:dyDescent="0.45">
      <c r="A6" s="25" t="s">
        <v>68</v>
      </c>
      <c r="B6" s="26" t="s">
        <v>53</v>
      </c>
      <c r="C6" s="26" t="s">
        <v>69</v>
      </c>
      <c r="D6" s="27" t="s">
        <v>55</v>
      </c>
      <c r="E6" s="26" t="s">
        <v>56</v>
      </c>
      <c r="F6" s="26" t="s">
        <v>70</v>
      </c>
      <c r="G6" s="27" t="s">
        <v>28</v>
      </c>
      <c r="H6" s="26" t="s">
        <v>20</v>
      </c>
      <c r="I6" s="26" t="s">
        <v>71</v>
      </c>
      <c r="J6" s="26" t="s">
        <v>72</v>
      </c>
      <c r="K6" s="26"/>
      <c r="L6" s="27" t="s">
        <v>9</v>
      </c>
      <c r="M6" s="28">
        <v>46177</v>
      </c>
      <c r="N6" s="26" t="s">
        <v>73</v>
      </c>
    </row>
    <row r="7" spans="1:14" ht="48" customHeight="1" x14ac:dyDescent="0.45">
      <c r="A7" s="29" t="s">
        <v>74</v>
      </c>
      <c r="B7" s="30" t="s">
        <v>53</v>
      </c>
      <c r="C7" s="30" t="s">
        <v>75</v>
      </c>
      <c r="D7" s="31" t="s">
        <v>55</v>
      </c>
      <c r="E7" s="30" t="s">
        <v>56</v>
      </c>
      <c r="F7" s="30" t="s">
        <v>76</v>
      </c>
      <c r="G7" s="31" t="s">
        <v>28</v>
      </c>
      <c r="H7" s="30" t="s">
        <v>58</v>
      </c>
      <c r="I7" s="30" t="s">
        <v>77</v>
      </c>
      <c r="J7" s="30" t="s">
        <v>78</v>
      </c>
      <c r="K7" s="30"/>
      <c r="L7" s="31" t="s">
        <v>9</v>
      </c>
      <c r="M7" s="28" t="s">
        <v>61</v>
      </c>
      <c r="N7" s="30" t="s">
        <v>79</v>
      </c>
    </row>
    <row r="8" spans="1:14" ht="48" customHeight="1" x14ac:dyDescent="0.45">
      <c r="A8" s="25" t="s">
        <v>80</v>
      </c>
      <c r="B8" s="26" t="s">
        <v>53</v>
      </c>
      <c r="C8" s="26" t="s">
        <v>81</v>
      </c>
      <c r="D8" s="27" t="s">
        <v>82</v>
      </c>
      <c r="E8" s="26" t="s">
        <v>56</v>
      </c>
      <c r="F8" s="26" t="s">
        <v>83</v>
      </c>
      <c r="G8" s="27" t="s">
        <v>28</v>
      </c>
      <c r="H8" s="26" t="s">
        <v>58</v>
      </c>
      <c r="I8" s="26" t="s">
        <v>84</v>
      </c>
      <c r="J8" s="26" t="s">
        <v>85</v>
      </c>
      <c r="K8" s="26"/>
      <c r="L8" s="27" t="s">
        <v>5</v>
      </c>
      <c r="M8" s="28" t="s">
        <v>61</v>
      </c>
      <c r="N8" s="26" t="s">
        <v>86</v>
      </c>
    </row>
    <row r="9" spans="1:14" ht="48" customHeight="1" x14ac:dyDescent="0.45">
      <c r="A9" s="29" t="s">
        <v>87</v>
      </c>
      <c r="B9" s="30" t="s">
        <v>53</v>
      </c>
      <c r="C9" s="30" t="s">
        <v>88</v>
      </c>
      <c r="D9" s="31" t="s">
        <v>82</v>
      </c>
      <c r="E9" s="30" t="s">
        <v>56</v>
      </c>
      <c r="F9" s="30" t="s">
        <v>89</v>
      </c>
      <c r="G9" s="31" t="s">
        <v>32</v>
      </c>
      <c r="H9" s="30" t="s">
        <v>58</v>
      </c>
      <c r="I9" s="30" t="s">
        <v>90</v>
      </c>
      <c r="J9" s="30" t="s">
        <v>91</v>
      </c>
      <c r="K9" s="30"/>
      <c r="L9" s="31" t="s">
        <v>9</v>
      </c>
      <c r="M9" s="32" t="s">
        <v>61</v>
      </c>
      <c r="N9" s="30" t="s">
        <v>92</v>
      </c>
    </row>
    <row r="10" spans="1:14" ht="48" customHeight="1" x14ac:dyDescent="0.45">
      <c r="A10" s="25" t="s">
        <v>93</v>
      </c>
      <c r="B10" s="26" t="s">
        <v>94</v>
      </c>
      <c r="C10" s="26" t="s">
        <v>95</v>
      </c>
      <c r="D10" s="27" t="s">
        <v>55</v>
      </c>
      <c r="E10" s="26" t="s">
        <v>96</v>
      </c>
      <c r="F10" s="26" t="s">
        <v>97</v>
      </c>
      <c r="G10" s="27" t="s">
        <v>29</v>
      </c>
      <c r="H10" s="26" t="s">
        <v>58</v>
      </c>
      <c r="I10" s="26" t="s">
        <v>98</v>
      </c>
      <c r="J10" s="26" t="s">
        <v>99</v>
      </c>
      <c r="K10" s="26"/>
      <c r="L10" s="27" t="s">
        <v>9</v>
      </c>
      <c r="M10" s="28" t="s">
        <v>61</v>
      </c>
      <c r="N10" s="26" t="s">
        <v>100</v>
      </c>
    </row>
    <row r="11" spans="1:14" ht="48" customHeight="1" x14ac:dyDescent="0.45">
      <c r="A11" s="29" t="s">
        <v>101</v>
      </c>
      <c r="B11" s="30" t="s">
        <v>94</v>
      </c>
      <c r="C11" s="30" t="s">
        <v>102</v>
      </c>
      <c r="D11" s="31" t="s">
        <v>55</v>
      </c>
      <c r="E11" s="30" t="s">
        <v>96</v>
      </c>
      <c r="F11" s="30" t="s">
        <v>103</v>
      </c>
      <c r="G11" s="31" t="s">
        <v>29</v>
      </c>
      <c r="H11" s="30" t="s">
        <v>21</v>
      </c>
      <c r="I11" s="30" t="s">
        <v>72</v>
      </c>
      <c r="J11" s="30" t="s">
        <v>104</v>
      </c>
      <c r="K11" s="30"/>
      <c r="L11" s="31" t="s">
        <v>9</v>
      </c>
      <c r="M11" s="32" t="s">
        <v>61</v>
      </c>
      <c r="N11" s="30" t="s">
        <v>105</v>
      </c>
    </row>
    <row r="12" spans="1:14" ht="48" customHeight="1" x14ac:dyDescent="0.45">
      <c r="A12" s="25" t="s">
        <v>106</v>
      </c>
      <c r="B12" s="26" t="s">
        <v>94</v>
      </c>
      <c r="C12" s="26" t="s">
        <v>107</v>
      </c>
      <c r="D12" s="27" t="s">
        <v>55</v>
      </c>
      <c r="E12" s="26" t="s">
        <v>96</v>
      </c>
      <c r="F12" s="26" t="s">
        <v>108</v>
      </c>
      <c r="G12" s="27" t="s">
        <v>109</v>
      </c>
      <c r="H12" s="26" t="s">
        <v>110</v>
      </c>
      <c r="I12" s="26" t="s">
        <v>111</v>
      </c>
      <c r="J12" s="26" t="s">
        <v>112</v>
      </c>
      <c r="K12" s="26"/>
      <c r="L12" s="27" t="s">
        <v>9</v>
      </c>
      <c r="M12" s="28" t="s">
        <v>61</v>
      </c>
      <c r="N12" s="26" t="s">
        <v>113</v>
      </c>
    </row>
    <row r="13" spans="1:14" ht="48" customHeight="1" x14ac:dyDescent="0.45">
      <c r="A13" s="29" t="s">
        <v>114</v>
      </c>
      <c r="B13" s="30" t="s">
        <v>94</v>
      </c>
      <c r="C13" s="30" t="s">
        <v>115</v>
      </c>
      <c r="D13" s="31" t="s">
        <v>82</v>
      </c>
      <c r="E13" s="30" t="s">
        <v>96</v>
      </c>
      <c r="F13" s="30" t="s">
        <v>116</v>
      </c>
      <c r="G13" s="31" t="s">
        <v>29</v>
      </c>
      <c r="H13" s="30" t="s">
        <v>58</v>
      </c>
      <c r="I13" s="30" t="s">
        <v>117</v>
      </c>
      <c r="J13" s="30" t="s">
        <v>118</v>
      </c>
      <c r="K13" s="30"/>
      <c r="L13" s="31" t="s">
        <v>9</v>
      </c>
      <c r="M13" s="32" t="s">
        <v>61</v>
      </c>
      <c r="N13" s="30" t="s">
        <v>119</v>
      </c>
    </row>
    <row r="14" spans="1:14" ht="48" customHeight="1" x14ac:dyDescent="0.45">
      <c r="A14" s="25" t="s">
        <v>120</v>
      </c>
      <c r="B14" s="26" t="s">
        <v>94</v>
      </c>
      <c r="C14" s="26" t="s">
        <v>121</v>
      </c>
      <c r="D14" s="27" t="s">
        <v>55</v>
      </c>
      <c r="E14" s="26" t="s">
        <v>96</v>
      </c>
      <c r="F14" s="26" t="s">
        <v>122</v>
      </c>
      <c r="G14" s="27" t="s">
        <v>109</v>
      </c>
      <c r="H14" s="26" t="s">
        <v>123</v>
      </c>
      <c r="I14" s="26" t="s">
        <v>124</v>
      </c>
      <c r="J14" s="26" t="s">
        <v>72</v>
      </c>
      <c r="K14" s="26"/>
      <c r="L14" s="27" t="s">
        <v>9</v>
      </c>
      <c r="M14" s="28" t="s">
        <v>61</v>
      </c>
      <c r="N14" s="26" t="s">
        <v>125</v>
      </c>
    </row>
    <row r="15" spans="1:14" ht="48" customHeight="1" x14ac:dyDescent="0.45">
      <c r="A15" s="29" t="s">
        <v>126</v>
      </c>
      <c r="B15" s="30" t="s">
        <v>94</v>
      </c>
      <c r="C15" s="30" t="s">
        <v>127</v>
      </c>
      <c r="D15" s="31" t="s">
        <v>128</v>
      </c>
      <c r="E15" s="30" t="s">
        <v>96</v>
      </c>
      <c r="F15" s="30" t="s">
        <v>72</v>
      </c>
      <c r="G15" s="31" t="s">
        <v>129</v>
      </c>
      <c r="H15" s="30" t="s">
        <v>21</v>
      </c>
      <c r="I15" s="30" t="s">
        <v>72</v>
      </c>
      <c r="J15" s="30" t="s">
        <v>130</v>
      </c>
      <c r="K15" s="30"/>
      <c r="L15" s="31" t="s">
        <v>5</v>
      </c>
      <c r="M15" s="32" t="s">
        <v>61</v>
      </c>
      <c r="N15" s="30"/>
    </row>
    <row r="16" spans="1:14" ht="48" customHeight="1" x14ac:dyDescent="0.45">
      <c r="A16" s="25" t="s">
        <v>131</v>
      </c>
      <c r="B16" s="26" t="s">
        <v>94</v>
      </c>
      <c r="C16" s="26" t="s">
        <v>132</v>
      </c>
      <c r="D16" s="27" t="s">
        <v>82</v>
      </c>
      <c r="E16" s="26" t="s">
        <v>96</v>
      </c>
      <c r="F16" s="26" t="s">
        <v>133</v>
      </c>
      <c r="G16" s="27" t="s">
        <v>29</v>
      </c>
      <c r="H16" s="26" t="s">
        <v>58</v>
      </c>
      <c r="I16" s="26" t="s">
        <v>134</v>
      </c>
      <c r="J16" s="26" t="s">
        <v>135</v>
      </c>
      <c r="K16" s="26"/>
      <c r="L16" s="27" t="s">
        <v>9</v>
      </c>
      <c r="M16" s="28" t="s">
        <v>61</v>
      </c>
      <c r="N16" s="26" t="s">
        <v>136</v>
      </c>
    </row>
    <row r="17" spans="1:14" ht="48" customHeight="1" x14ac:dyDescent="0.45">
      <c r="A17" s="29" t="s">
        <v>137</v>
      </c>
      <c r="B17" s="30" t="s">
        <v>138</v>
      </c>
      <c r="C17" s="30" t="s">
        <v>139</v>
      </c>
      <c r="D17" s="31" t="s">
        <v>55</v>
      </c>
      <c r="E17" s="30" t="s">
        <v>140</v>
      </c>
      <c r="F17" s="30" t="s">
        <v>141</v>
      </c>
      <c r="G17" s="31" t="s">
        <v>30</v>
      </c>
      <c r="H17" s="30" t="s">
        <v>58</v>
      </c>
      <c r="I17" s="30" t="s">
        <v>142</v>
      </c>
      <c r="J17" s="30" t="s">
        <v>143</v>
      </c>
      <c r="K17" s="30"/>
      <c r="L17" s="31" t="s">
        <v>9</v>
      </c>
      <c r="M17" s="32" t="s">
        <v>61</v>
      </c>
      <c r="N17" s="30" t="s">
        <v>144</v>
      </c>
    </row>
    <row r="18" spans="1:14" ht="48" customHeight="1" x14ac:dyDescent="0.45">
      <c r="A18" s="25" t="s">
        <v>145</v>
      </c>
      <c r="B18" s="26" t="s">
        <v>138</v>
      </c>
      <c r="C18" s="26" t="s">
        <v>146</v>
      </c>
      <c r="D18" s="27" t="s">
        <v>82</v>
      </c>
      <c r="E18" s="26" t="s">
        <v>140</v>
      </c>
      <c r="F18" s="26" t="s">
        <v>147</v>
      </c>
      <c r="G18" s="27" t="s">
        <v>30</v>
      </c>
      <c r="H18" s="26" t="s">
        <v>58</v>
      </c>
      <c r="I18" s="26" t="s">
        <v>148</v>
      </c>
      <c r="J18" s="26" t="s">
        <v>149</v>
      </c>
      <c r="K18" s="26"/>
      <c r="L18" s="27" t="s">
        <v>9</v>
      </c>
      <c r="M18" s="28" t="s">
        <v>61</v>
      </c>
      <c r="N18" s="26" t="s">
        <v>150</v>
      </c>
    </row>
    <row r="19" spans="1:14" ht="48" customHeight="1" x14ac:dyDescent="0.45">
      <c r="A19" s="29" t="s">
        <v>151</v>
      </c>
      <c r="B19" s="30" t="s">
        <v>138</v>
      </c>
      <c r="C19" s="30" t="s">
        <v>152</v>
      </c>
      <c r="D19" s="31" t="s">
        <v>82</v>
      </c>
      <c r="E19" s="30" t="s">
        <v>140</v>
      </c>
      <c r="F19" s="30" t="s">
        <v>153</v>
      </c>
      <c r="G19" s="31" t="s">
        <v>30</v>
      </c>
      <c r="H19" s="30" t="s">
        <v>58</v>
      </c>
      <c r="I19" s="30" t="s">
        <v>154</v>
      </c>
      <c r="J19" s="30" t="s">
        <v>155</v>
      </c>
      <c r="K19" s="30"/>
      <c r="L19" s="31" t="s">
        <v>9</v>
      </c>
      <c r="M19" s="32" t="s">
        <v>61</v>
      </c>
      <c r="N19" s="30" t="s">
        <v>156</v>
      </c>
    </row>
    <row r="20" spans="1:14" ht="48" customHeight="1" x14ac:dyDescent="0.45">
      <c r="A20" s="25" t="s">
        <v>157</v>
      </c>
      <c r="B20" s="26" t="s">
        <v>138</v>
      </c>
      <c r="C20" s="26" t="s">
        <v>158</v>
      </c>
      <c r="D20" s="27" t="s">
        <v>128</v>
      </c>
      <c r="E20" s="26" t="s">
        <v>140</v>
      </c>
      <c r="F20" s="26" t="s">
        <v>159</v>
      </c>
      <c r="G20" s="27" t="s">
        <v>30</v>
      </c>
      <c r="H20" s="26" t="s">
        <v>58</v>
      </c>
      <c r="I20" s="26" t="s">
        <v>160</v>
      </c>
      <c r="J20" s="26" t="s">
        <v>161</v>
      </c>
      <c r="K20" s="26"/>
      <c r="L20" s="27" t="s">
        <v>9</v>
      </c>
      <c r="M20" s="28" t="s">
        <v>61</v>
      </c>
      <c r="N20" s="26" t="s">
        <v>162</v>
      </c>
    </row>
    <row r="21" spans="1:14" ht="48" customHeight="1" x14ac:dyDescent="0.45">
      <c r="A21" s="29" t="s">
        <v>163</v>
      </c>
      <c r="B21" s="30" t="s">
        <v>138</v>
      </c>
      <c r="C21" s="30" t="s">
        <v>164</v>
      </c>
      <c r="D21" s="31" t="s">
        <v>55</v>
      </c>
      <c r="E21" s="30" t="s">
        <v>140</v>
      </c>
      <c r="F21" s="30" t="s">
        <v>165</v>
      </c>
      <c r="G21" s="31" t="s">
        <v>32</v>
      </c>
      <c r="H21" s="30" t="s">
        <v>58</v>
      </c>
      <c r="I21" s="30" t="s">
        <v>166</v>
      </c>
      <c r="J21" s="30" t="s">
        <v>167</v>
      </c>
      <c r="K21" s="30"/>
      <c r="L21" s="31" t="s">
        <v>9</v>
      </c>
      <c r="M21" s="32" t="s">
        <v>61</v>
      </c>
      <c r="N21" s="30" t="s">
        <v>168</v>
      </c>
    </row>
    <row r="22" spans="1:14" ht="48" customHeight="1" x14ac:dyDescent="0.45">
      <c r="A22" s="25" t="s">
        <v>169</v>
      </c>
      <c r="B22" s="26" t="s">
        <v>170</v>
      </c>
      <c r="C22" s="26" t="s">
        <v>171</v>
      </c>
      <c r="D22" s="27" t="s">
        <v>55</v>
      </c>
      <c r="E22" s="26" t="s">
        <v>172</v>
      </c>
      <c r="F22" s="26" t="s">
        <v>173</v>
      </c>
      <c r="G22" s="27" t="s">
        <v>174</v>
      </c>
      <c r="H22" s="26" t="s">
        <v>175</v>
      </c>
      <c r="I22" s="26" t="s">
        <v>176</v>
      </c>
      <c r="J22" s="26" t="s">
        <v>177</v>
      </c>
      <c r="K22" s="26"/>
      <c r="L22" s="27" t="s">
        <v>9</v>
      </c>
      <c r="M22" s="28" t="s">
        <v>61</v>
      </c>
      <c r="N22" s="26" t="s">
        <v>178</v>
      </c>
    </row>
    <row r="23" spans="1:14" ht="48" customHeight="1" x14ac:dyDescent="0.45">
      <c r="A23" s="29" t="s">
        <v>179</v>
      </c>
      <c r="B23" s="30" t="s">
        <v>170</v>
      </c>
      <c r="C23" s="30" t="s">
        <v>180</v>
      </c>
      <c r="D23" s="31" t="s">
        <v>55</v>
      </c>
      <c r="E23" s="30" t="s">
        <v>172</v>
      </c>
      <c r="F23" s="30" t="s">
        <v>181</v>
      </c>
      <c r="G23" s="31" t="s">
        <v>32</v>
      </c>
      <c r="H23" s="30" t="s">
        <v>58</v>
      </c>
      <c r="I23" s="30" t="s">
        <v>182</v>
      </c>
      <c r="J23" s="30" t="s">
        <v>183</v>
      </c>
      <c r="K23" s="30"/>
      <c r="L23" s="31" t="s">
        <v>9</v>
      </c>
      <c r="M23" s="32" t="s">
        <v>61</v>
      </c>
      <c r="N23" s="30" t="s">
        <v>184</v>
      </c>
    </row>
    <row r="24" spans="1:14" ht="48" customHeight="1" x14ac:dyDescent="0.45">
      <c r="A24" s="25" t="s">
        <v>185</v>
      </c>
      <c r="B24" s="26" t="s">
        <v>170</v>
      </c>
      <c r="C24" s="26" t="s">
        <v>186</v>
      </c>
      <c r="D24" s="27" t="s">
        <v>82</v>
      </c>
      <c r="E24" s="26" t="s">
        <v>172</v>
      </c>
      <c r="F24" s="26" t="s">
        <v>187</v>
      </c>
      <c r="G24" s="27" t="s">
        <v>32</v>
      </c>
      <c r="H24" s="26" t="s">
        <v>58</v>
      </c>
      <c r="I24" s="26" t="s">
        <v>188</v>
      </c>
      <c r="J24" s="26" t="s">
        <v>189</v>
      </c>
      <c r="K24" s="26"/>
      <c r="L24" s="27" t="s">
        <v>9</v>
      </c>
      <c r="M24" s="28" t="s">
        <v>61</v>
      </c>
      <c r="N24" s="26" t="s">
        <v>190</v>
      </c>
    </row>
    <row r="25" spans="1:14" ht="48" customHeight="1" x14ac:dyDescent="0.45">
      <c r="A25" s="29" t="s">
        <v>191</v>
      </c>
      <c r="B25" s="30" t="s">
        <v>170</v>
      </c>
      <c r="C25" s="30" t="s">
        <v>192</v>
      </c>
      <c r="D25" s="31" t="s">
        <v>55</v>
      </c>
      <c r="E25" s="30" t="s">
        <v>172</v>
      </c>
      <c r="F25" s="30" t="s">
        <v>193</v>
      </c>
      <c r="G25" s="31" t="s">
        <v>33</v>
      </c>
      <c r="H25" s="30" t="s">
        <v>58</v>
      </c>
      <c r="I25" s="30" t="s">
        <v>194</v>
      </c>
      <c r="J25" s="30" t="s">
        <v>195</v>
      </c>
      <c r="K25" s="30"/>
      <c r="L25" s="31" t="s">
        <v>9</v>
      </c>
      <c r="M25" s="32" t="s">
        <v>61</v>
      </c>
      <c r="N25" s="30" t="s">
        <v>196</v>
      </c>
    </row>
    <row r="26" spans="1:14" ht="48" customHeight="1" x14ac:dyDescent="0.45">
      <c r="A26" s="25" t="s">
        <v>197</v>
      </c>
      <c r="B26" s="26" t="s">
        <v>170</v>
      </c>
      <c r="C26" s="26" t="s">
        <v>198</v>
      </c>
      <c r="D26" s="27" t="s">
        <v>128</v>
      </c>
      <c r="E26" s="26" t="s">
        <v>172</v>
      </c>
      <c r="F26" s="26" t="s">
        <v>199</v>
      </c>
      <c r="G26" s="27" t="s">
        <v>200</v>
      </c>
      <c r="H26" s="26" t="s">
        <v>20</v>
      </c>
      <c r="I26" s="26" t="s">
        <v>201</v>
      </c>
      <c r="J26" s="26" t="s">
        <v>72</v>
      </c>
      <c r="K26" s="26"/>
      <c r="L26" s="27" t="s">
        <v>9</v>
      </c>
      <c r="M26" s="28" t="s">
        <v>61</v>
      </c>
      <c r="N26" s="26" t="s">
        <v>202</v>
      </c>
    </row>
    <row r="27" spans="1:14" ht="48" customHeight="1" x14ac:dyDescent="0.45">
      <c r="A27" s="29" t="s">
        <v>203</v>
      </c>
      <c r="B27" s="30" t="s">
        <v>204</v>
      </c>
      <c r="C27" s="30" t="s">
        <v>205</v>
      </c>
      <c r="D27" s="31" t="s">
        <v>55</v>
      </c>
      <c r="E27" s="30" t="s">
        <v>206</v>
      </c>
      <c r="F27" s="30" t="s">
        <v>207</v>
      </c>
      <c r="G27" s="31" t="s">
        <v>31</v>
      </c>
      <c r="H27" s="30" t="s">
        <v>22</v>
      </c>
      <c r="I27" s="30" t="s">
        <v>208</v>
      </c>
      <c r="J27" s="30" t="s">
        <v>209</v>
      </c>
      <c r="K27" s="30"/>
      <c r="L27" s="31" t="s">
        <v>9</v>
      </c>
      <c r="M27" s="32" t="s">
        <v>61</v>
      </c>
      <c r="N27" s="30" t="s">
        <v>210</v>
      </c>
    </row>
    <row r="28" spans="1:14" ht="48" customHeight="1" x14ac:dyDescent="0.45">
      <c r="A28" s="25" t="s">
        <v>211</v>
      </c>
      <c r="B28" s="26" t="s">
        <v>204</v>
      </c>
      <c r="C28" s="26" t="s">
        <v>212</v>
      </c>
      <c r="D28" s="27" t="s">
        <v>82</v>
      </c>
      <c r="E28" s="26" t="s">
        <v>206</v>
      </c>
      <c r="F28" s="26" t="s">
        <v>213</v>
      </c>
      <c r="G28" s="27" t="s">
        <v>31</v>
      </c>
      <c r="H28" s="26" t="s">
        <v>22</v>
      </c>
      <c r="I28" s="26" t="s">
        <v>72</v>
      </c>
      <c r="J28" s="26" t="s">
        <v>214</v>
      </c>
      <c r="K28" s="26"/>
      <c r="L28" s="27" t="s">
        <v>9</v>
      </c>
      <c r="M28" s="28" t="s">
        <v>61</v>
      </c>
      <c r="N28" s="26" t="s">
        <v>215</v>
      </c>
    </row>
    <row r="29" spans="1:14" ht="48" customHeight="1" x14ac:dyDescent="0.45">
      <c r="A29" s="29" t="s">
        <v>216</v>
      </c>
      <c r="B29" s="30" t="s">
        <v>204</v>
      </c>
      <c r="C29" s="30" t="s">
        <v>217</v>
      </c>
      <c r="D29" s="31" t="s">
        <v>82</v>
      </c>
      <c r="E29" s="30" t="s">
        <v>206</v>
      </c>
      <c r="F29" s="30" t="s">
        <v>218</v>
      </c>
      <c r="G29" s="31" t="s">
        <v>31</v>
      </c>
      <c r="H29" s="30" t="s">
        <v>22</v>
      </c>
      <c r="I29" s="30" t="s">
        <v>219</v>
      </c>
      <c r="J29" s="30" t="s">
        <v>220</v>
      </c>
      <c r="K29" s="30"/>
      <c r="L29" s="31" t="s">
        <v>9</v>
      </c>
      <c r="M29" s="32" t="s">
        <v>61</v>
      </c>
      <c r="N29" s="30" t="s">
        <v>221</v>
      </c>
    </row>
    <row r="30" spans="1:14" ht="48" customHeight="1" x14ac:dyDescent="0.45">
      <c r="A30" s="25" t="s">
        <v>222</v>
      </c>
      <c r="B30" s="26" t="s">
        <v>204</v>
      </c>
      <c r="C30" s="26" t="s">
        <v>223</v>
      </c>
      <c r="D30" s="27" t="s">
        <v>55</v>
      </c>
      <c r="E30" s="26" t="s">
        <v>206</v>
      </c>
      <c r="F30" s="26" t="s">
        <v>207</v>
      </c>
      <c r="G30" s="27" t="s">
        <v>31</v>
      </c>
      <c r="H30" s="26" t="s">
        <v>22</v>
      </c>
      <c r="I30" s="26" t="s">
        <v>72</v>
      </c>
      <c r="J30" s="26" t="s">
        <v>224</v>
      </c>
      <c r="K30" s="26"/>
      <c r="L30" s="27" t="s">
        <v>9</v>
      </c>
      <c r="M30" s="28" t="s">
        <v>61</v>
      </c>
      <c r="N30" s="26" t="s">
        <v>225</v>
      </c>
    </row>
    <row r="31" spans="1:14" ht="48" customHeight="1" x14ac:dyDescent="0.45">
      <c r="A31" s="29" t="s">
        <v>226</v>
      </c>
      <c r="B31" s="30" t="s">
        <v>227</v>
      </c>
      <c r="C31" s="30" t="s">
        <v>228</v>
      </c>
      <c r="D31" s="31" t="s">
        <v>55</v>
      </c>
      <c r="E31" s="30" t="s">
        <v>229</v>
      </c>
      <c r="F31" s="30" t="s">
        <v>230</v>
      </c>
      <c r="G31" s="31" t="s">
        <v>32</v>
      </c>
      <c r="H31" s="30" t="s">
        <v>58</v>
      </c>
      <c r="I31" s="30" t="s">
        <v>231</v>
      </c>
      <c r="J31" s="30" t="s">
        <v>232</v>
      </c>
      <c r="K31" s="30"/>
      <c r="L31" s="31" t="s">
        <v>9</v>
      </c>
      <c r="M31" s="32" t="s">
        <v>61</v>
      </c>
      <c r="N31" s="30" t="s">
        <v>233</v>
      </c>
    </row>
    <row r="32" spans="1:14" ht="48" customHeight="1" x14ac:dyDescent="0.45">
      <c r="A32" s="25" t="s">
        <v>234</v>
      </c>
      <c r="B32" s="26" t="s">
        <v>227</v>
      </c>
      <c r="C32" s="26" t="s">
        <v>235</v>
      </c>
      <c r="D32" s="27" t="s">
        <v>55</v>
      </c>
      <c r="E32" s="26" t="s">
        <v>229</v>
      </c>
      <c r="F32" s="26" t="s">
        <v>72</v>
      </c>
      <c r="G32" s="27" t="s">
        <v>32</v>
      </c>
      <c r="H32" s="26" t="s">
        <v>58</v>
      </c>
      <c r="I32" s="26" t="s">
        <v>236</v>
      </c>
      <c r="J32" s="26" t="s">
        <v>237</v>
      </c>
      <c r="K32" s="26"/>
      <c r="L32" s="27" t="s">
        <v>9</v>
      </c>
      <c r="M32" s="28" t="s">
        <v>61</v>
      </c>
      <c r="N32" s="26" t="s">
        <v>238</v>
      </c>
    </row>
    <row r="33" spans="1:14" ht="48" customHeight="1" x14ac:dyDescent="0.45">
      <c r="A33" s="29" t="s">
        <v>239</v>
      </c>
      <c r="B33" s="30" t="s">
        <v>227</v>
      </c>
      <c r="C33" s="30" t="s">
        <v>240</v>
      </c>
      <c r="D33" s="31" t="s">
        <v>82</v>
      </c>
      <c r="E33" s="30" t="s">
        <v>229</v>
      </c>
      <c r="F33" s="30" t="s">
        <v>241</v>
      </c>
      <c r="G33" s="31" t="s">
        <v>32</v>
      </c>
      <c r="H33" s="30" t="s">
        <v>58</v>
      </c>
      <c r="I33" s="30" t="s">
        <v>242</v>
      </c>
      <c r="J33" s="30" t="s">
        <v>243</v>
      </c>
      <c r="K33" s="30"/>
      <c r="L33" s="31" t="s">
        <v>9</v>
      </c>
      <c r="M33" s="32" t="s">
        <v>61</v>
      </c>
      <c r="N33" s="30" t="s">
        <v>244</v>
      </c>
    </row>
    <row r="34" spans="1:14" ht="48" customHeight="1" x14ac:dyDescent="0.45">
      <c r="A34" s="25" t="s">
        <v>245</v>
      </c>
      <c r="B34" s="26" t="s">
        <v>227</v>
      </c>
      <c r="C34" s="26" t="s">
        <v>246</v>
      </c>
      <c r="D34" s="27" t="s">
        <v>128</v>
      </c>
      <c r="E34" s="26" t="s">
        <v>229</v>
      </c>
      <c r="F34" s="26" t="s">
        <v>72</v>
      </c>
      <c r="G34" s="27" t="s">
        <v>32</v>
      </c>
      <c r="H34" s="26" t="s">
        <v>58</v>
      </c>
      <c r="I34" s="26" t="s">
        <v>247</v>
      </c>
      <c r="J34" s="26" t="s">
        <v>248</v>
      </c>
      <c r="K34" s="26"/>
      <c r="L34" s="27" t="s">
        <v>9</v>
      </c>
      <c r="M34" s="28" t="s">
        <v>61</v>
      </c>
      <c r="N34" s="26" t="s">
        <v>249</v>
      </c>
    </row>
    <row r="35" spans="1:14" ht="48" customHeight="1" x14ac:dyDescent="0.45">
      <c r="A35" s="29" t="s">
        <v>250</v>
      </c>
      <c r="B35" s="30" t="s">
        <v>251</v>
      </c>
      <c r="C35" s="30" t="s">
        <v>252</v>
      </c>
      <c r="D35" s="31" t="s">
        <v>55</v>
      </c>
      <c r="E35" s="30" t="s">
        <v>253</v>
      </c>
      <c r="F35" s="30" t="s">
        <v>254</v>
      </c>
      <c r="G35" s="31" t="s">
        <v>255</v>
      </c>
      <c r="H35" s="30" t="s">
        <v>20</v>
      </c>
      <c r="I35" s="30" t="s">
        <v>256</v>
      </c>
      <c r="J35" s="30" t="s">
        <v>72</v>
      </c>
      <c r="K35" s="30"/>
      <c r="L35" s="31" t="s">
        <v>5</v>
      </c>
      <c r="M35" s="32"/>
      <c r="N35" s="30"/>
    </row>
    <row r="36" spans="1:14" ht="48" customHeight="1" x14ac:dyDescent="0.45">
      <c r="A36" s="25" t="s">
        <v>257</v>
      </c>
      <c r="B36" s="26" t="s">
        <v>251</v>
      </c>
      <c r="C36" s="26" t="s">
        <v>258</v>
      </c>
      <c r="D36" s="27" t="s">
        <v>55</v>
      </c>
      <c r="E36" s="26" t="s">
        <v>253</v>
      </c>
      <c r="F36" s="26" t="s">
        <v>259</v>
      </c>
      <c r="G36" s="27" t="s">
        <v>255</v>
      </c>
      <c r="H36" s="26" t="s">
        <v>20</v>
      </c>
      <c r="I36" s="26" t="s">
        <v>260</v>
      </c>
      <c r="J36" s="26" t="s">
        <v>72</v>
      </c>
      <c r="K36" s="26"/>
      <c r="L36" s="27" t="s">
        <v>5</v>
      </c>
      <c r="M36" s="28"/>
      <c r="N36" s="26"/>
    </row>
    <row r="37" spans="1:14" ht="48" customHeight="1" x14ac:dyDescent="0.45">
      <c r="A37" s="29" t="s">
        <v>261</v>
      </c>
      <c r="B37" s="30" t="s">
        <v>251</v>
      </c>
      <c r="C37" s="30" t="s">
        <v>262</v>
      </c>
      <c r="D37" s="31" t="s">
        <v>82</v>
      </c>
      <c r="E37" s="30" t="s">
        <v>253</v>
      </c>
      <c r="F37" s="30" t="s">
        <v>72</v>
      </c>
      <c r="G37" s="31" t="s">
        <v>263</v>
      </c>
      <c r="H37" s="30" t="s">
        <v>22</v>
      </c>
      <c r="I37" s="30" t="s">
        <v>72</v>
      </c>
      <c r="J37" s="30" t="s">
        <v>264</v>
      </c>
      <c r="K37" s="30"/>
      <c r="L37" s="31" t="s">
        <v>5</v>
      </c>
      <c r="M37" s="32"/>
      <c r="N37" s="30"/>
    </row>
    <row r="38" spans="1:14" ht="48" customHeight="1" x14ac:dyDescent="0.45">
      <c r="A38" s="25" t="s">
        <v>265</v>
      </c>
      <c r="B38" s="26" t="s">
        <v>266</v>
      </c>
      <c r="C38" s="26" t="s">
        <v>267</v>
      </c>
      <c r="D38" s="27" t="s">
        <v>55</v>
      </c>
      <c r="E38" s="26" t="s">
        <v>268</v>
      </c>
      <c r="F38" s="26" t="s">
        <v>269</v>
      </c>
      <c r="G38" s="27" t="s">
        <v>36</v>
      </c>
      <c r="H38" s="26" t="s">
        <v>20</v>
      </c>
      <c r="I38" s="26" t="s">
        <v>270</v>
      </c>
      <c r="J38" s="26" t="s">
        <v>72</v>
      </c>
      <c r="K38" s="26"/>
      <c r="L38" s="27" t="s">
        <v>9</v>
      </c>
      <c r="M38" s="28" t="s">
        <v>61</v>
      </c>
      <c r="N38" s="26" t="s">
        <v>271</v>
      </c>
    </row>
    <row r="39" spans="1:14" ht="48" customHeight="1" x14ac:dyDescent="0.45">
      <c r="A39" s="29" t="s">
        <v>272</v>
      </c>
      <c r="B39" s="30" t="s">
        <v>266</v>
      </c>
      <c r="C39" s="30" t="s">
        <v>273</v>
      </c>
      <c r="D39" s="31" t="s">
        <v>55</v>
      </c>
      <c r="E39" s="30" t="s">
        <v>268</v>
      </c>
      <c r="F39" s="30" t="s">
        <v>274</v>
      </c>
      <c r="G39" s="31" t="s">
        <v>28</v>
      </c>
      <c r="H39" s="30" t="s">
        <v>20</v>
      </c>
      <c r="I39" s="30" t="s">
        <v>275</v>
      </c>
      <c r="J39" s="30" t="s">
        <v>72</v>
      </c>
      <c r="K39" s="30"/>
      <c r="L39" s="31" t="s">
        <v>9</v>
      </c>
      <c r="M39" s="32">
        <v>46181</v>
      </c>
      <c r="N39" s="30" t="s">
        <v>276</v>
      </c>
    </row>
    <row r="40" spans="1:14" ht="48" customHeight="1" x14ac:dyDescent="0.45">
      <c r="A40" s="25" t="s">
        <v>277</v>
      </c>
      <c r="B40" s="26" t="s">
        <v>266</v>
      </c>
      <c r="C40" s="26" t="s">
        <v>278</v>
      </c>
      <c r="D40" s="27" t="s">
        <v>55</v>
      </c>
      <c r="E40" s="26" t="s">
        <v>268</v>
      </c>
      <c r="F40" s="26" t="s">
        <v>279</v>
      </c>
      <c r="G40" s="27" t="s">
        <v>28</v>
      </c>
      <c r="H40" s="26" t="s">
        <v>58</v>
      </c>
      <c r="I40" s="26" t="s">
        <v>280</v>
      </c>
      <c r="J40" s="26" t="s">
        <v>281</v>
      </c>
      <c r="K40" s="26"/>
      <c r="L40" s="27" t="s">
        <v>9</v>
      </c>
      <c r="M40" s="28" t="s">
        <v>61</v>
      </c>
      <c r="N40" s="26" t="s">
        <v>282</v>
      </c>
    </row>
    <row r="41" spans="1:14" ht="48" customHeight="1" x14ac:dyDescent="0.45">
      <c r="A41" s="29" t="s">
        <v>283</v>
      </c>
      <c r="B41" s="30" t="s">
        <v>266</v>
      </c>
      <c r="C41" s="30" t="s">
        <v>284</v>
      </c>
      <c r="D41" s="31" t="s">
        <v>55</v>
      </c>
      <c r="E41" s="30" t="s">
        <v>268</v>
      </c>
      <c r="F41" s="30" t="s">
        <v>285</v>
      </c>
      <c r="G41" s="31" t="s">
        <v>27</v>
      </c>
      <c r="H41" s="30" t="s">
        <v>20</v>
      </c>
      <c r="I41" s="30" t="s">
        <v>286</v>
      </c>
      <c r="J41" s="30" t="s">
        <v>72</v>
      </c>
      <c r="K41" s="30"/>
      <c r="L41" s="31" t="s">
        <v>9</v>
      </c>
      <c r="M41" s="32" t="s">
        <v>61</v>
      </c>
      <c r="N41" s="30" t="s">
        <v>287</v>
      </c>
    </row>
    <row r="42" spans="1:14" ht="48" customHeight="1" x14ac:dyDescent="0.45">
      <c r="A42" s="25" t="s">
        <v>288</v>
      </c>
      <c r="B42" s="26" t="s">
        <v>266</v>
      </c>
      <c r="C42" s="26" t="s">
        <v>289</v>
      </c>
      <c r="D42" s="27" t="s">
        <v>55</v>
      </c>
      <c r="E42" s="26" t="s">
        <v>268</v>
      </c>
      <c r="F42" s="26" t="s">
        <v>290</v>
      </c>
      <c r="G42" s="27" t="s">
        <v>31</v>
      </c>
      <c r="H42" s="26" t="s">
        <v>22</v>
      </c>
      <c r="I42" s="26" t="s">
        <v>291</v>
      </c>
      <c r="J42" s="26" t="s">
        <v>292</v>
      </c>
      <c r="K42" s="26"/>
      <c r="L42" s="27" t="s">
        <v>5</v>
      </c>
      <c r="M42" s="28"/>
      <c r="N42" s="26"/>
    </row>
    <row r="43" spans="1:14" ht="48" customHeight="1" x14ac:dyDescent="0.45">
      <c r="A43" s="29" t="s">
        <v>293</v>
      </c>
      <c r="B43" s="30" t="s">
        <v>294</v>
      </c>
      <c r="C43" s="30" t="s">
        <v>295</v>
      </c>
      <c r="D43" s="31" t="s">
        <v>55</v>
      </c>
      <c r="E43" s="30" t="s">
        <v>296</v>
      </c>
      <c r="F43" s="30" t="s">
        <v>297</v>
      </c>
      <c r="G43" s="31" t="s">
        <v>36</v>
      </c>
      <c r="H43" s="30" t="s">
        <v>20</v>
      </c>
      <c r="I43" s="30" t="s">
        <v>298</v>
      </c>
      <c r="J43" s="30" t="s">
        <v>72</v>
      </c>
      <c r="K43" s="30"/>
      <c r="L43" s="31" t="s">
        <v>7</v>
      </c>
      <c r="M43" s="32" t="s">
        <v>61</v>
      </c>
      <c r="N43" s="30" t="s">
        <v>299</v>
      </c>
    </row>
    <row r="44" spans="1:14" ht="48" customHeight="1" x14ac:dyDescent="0.45">
      <c r="A44" s="25" t="s">
        <v>300</v>
      </c>
      <c r="B44" s="26" t="s">
        <v>294</v>
      </c>
      <c r="C44" s="26" t="s">
        <v>301</v>
      </c>
      <c r="D44" s="27" t="s">
        <v>55</v>
      </c>
      <c r="E44" s="26" t="s">
        <v>296</v>
      </c>
      <c r="F44" s="26" t="s">
        <v>72</v>
      </c>
      <c r="G44" s="27" t="s">
        <v>36</v>
      </c>
      <c r="H44" s="26" t="s">
        <v>20</v>
      </c>
      <c r="I44" s="26" t="s">
        <v>302</v>
      </c>
      <c r="J44" s="26" t="s">
        <v>72</v>
      </c>
      <c r="K44" s="26"/>
      <c r="L44" s="27" t="s">
        <v>5</v>
      </c>
      <c r="M44" s="28"/>
      <c r="N44" s="26"/>
    </row>
    <row r="45" spans="1:14" ht="48" customHeight="1" x14ac:dyDescent="0.45">
      <c r="A45" s="29" t="s">
        <v>303</v>
      </c>
      <c r="B45" s="30" t="s">
        <v>294</v>
      </c>
      <c r="C45" s="30" t="s">
        <v>304</v>
      </c>
      <c r="D45" s="31" t="s">
        <v>82</v>
      </c>
      <c r="E45" s="30" t="s">
        <v>296</v>
      </c>
      <c r="F45" s="30" t="s">
        <v>72</v>
      </c>
      <c r="G45" s="31" t="s">
        <v>36</v>
      </c>
      <c r="H45" s="30" t="s">
        <v>20</v>
      </c>
      <c r="I45" s="30" t="s">
        <v>305</v>
      </c>
      <c r="J45" s="30" t="s">
        <v>72</v>
      </c>
      <c r="K45" s="30"/>
      <c r="L45" s="31" t="s">
        <v>5</v>
      </c>
      <c r="M45" s="32"/>
      <c r="N45" s="30"/>
    </row>
    <row r="46" spans="1:14" ht="48" customHeight="1" x14ac:dyDescent="0.45">
      <c r="A46" s="25" t="s">
        <v>306</v>
      </c>
      <c r="B46" s="26" t="s">
        <v>307</v>
      </c>
      <c r="C46" s="26" t="s">
        <v>308</v>
      </c>
      <c r="D46" s="27" t="s">
        <v>55</v>
      </c>
      <c r="E46" s="26" t="s">
        <v>309</v>
      </c>
      <c r="F46" s="26" t="s">
        <v>310</v>
      </c>
      <c r="G46" s="27" t="s">
        <v>311</v>
      </c>
      <c r="H46" s="26" t="s">
        <v>312</v>
      </c>
      <c r="I46" s="26" t="s">
        <v>72</v>
      </c>
      <c r="J46" s="26" t="s">
        <v>313</v>
      </c>
      <c r="K46" s="26"/>
      <c r="L46" s="27" t="s">
        <v>9</v>
      </c>
      <c r="M46" s="28" t="s">
        <v>61</v>
      </c>
      <c r="N46" s="26" t="s">
        <v>314</v>
      </c>
    </row>
    <row r="47" spans="1:14" ht="48" customHeight="1" x14ac:dyDescent="0.45">
      <c r="A47" s="29" t="s">
        <v>315</v>
      </c>
      <c r="B47" s="30" t="s">
        <v>307</v>
      </c>
      <c r="C47" s="30" t="s">
        <v>316</v>
      </c>
      <c r="D47" s="31" t="s">
        <v>55</v>
      </c>
      <c r="E47" s="30" t="s">
        <v>309</v>
      </c>
      <c r="F47" s="30" t="s">
        <v>317</v>
      </c>
      <c r="G47" s="31" t="s">
        <v>318</v>
      </c>
      <c r="H47" s="30" t="s">
        <v>22</v>
      </c>
      <c r="I47" s="30" t="s">
        <v>72</v>
      </c>
      <c r="J47" s="30" t="s">
        <v>319</v>
      </c>
      <c r="K47" s="30"/>
      <c r="L47" s="31" t="s">
        <v>9</v>
      </c>
      <c r="M47" s="32" t="s">
        <v>61</v>
      </c>
      <c r="N47" s="30" t="s">
        <v>320</v>
      </c>
    </row>
    <row r="48" spans="1:14" ht="48" customHeight="1" x14ac:dyDescent="0.45">
      <c r="A48" s="25" t="s">
        <v>321</v>
      </c>
      <c r="B48" s="26" t="s">
        <v>307</v>
      </c>
      <c r="C48" s="26" t="s">
        <v>322</v>
      </c>
      <c r="D48" s="27" t="s">
        <v>82</v>
      </c>
      <c r="E48" s="26" t="s">
        <v>309</v>
      </c>
      <c r="F48" s="26" t="s">
        <v>323</v>
      </c>
      <c r="G48" s="27" t="s">
        <v>324</v>
      </c>
      <c r="H48" s="26" t="s">
        <v>23</v>
      </c>
      <c r="I48" s="26" t="s">
        <v>72</v>
      </c>
      <c r="J48" s="26" t="s">
        <v>325</v>
      </c>
      <c r="K48" s="26"/>
      <c r="L48" s="27" t="s">
        <v>5</v>
      </c>
      <c r="M48" s="28"/>
      <c r="N48" s="26"/>
    </row>
    <row r="49" spans="1:14" ht="48" customHeight="1" x14ac:dyDescent="0.45">
      <c r="A49" s="29" t="s">
        <v>326</v>
      </c>
      <c r="B49" s="30" t="s">
        <v>327</v>
      </c>
      <c r="C49" s="30" t="s">
        <v>328</v>
      </c>
      <c r="D49" s="31" t="s">
        <v>55</v>
      </c>
      <c r="E49" s="30" t="s">
        <v>329</v>
      </c>
      <c r="F49" s="30" t="s">
        <v>330</v>
      </c>
      <c r="G49" s="31" t="s">
        <v>34</v>
      </c>
      <c r="H49" s="30" t="s">
        <v>21</v>
      </c>
      <c r="I49" s="30" t="s">
        <v>331</v>
      </c>
      <c r="J49" s="30" t="s">
        <v>332</v>
      </c>
      <c r="K49" s="30"/>
      <c r="L49" s="31" t="s">
        <v>5</v>
      </c>
      <c r="M49" s="32"/>
      <c r="N49" s="30"/>
    </row>
    <row r="50" spans="1:14" ht="48" customHeight="1" x14ac:dyDescent="0.45">
      <c r="A50" s="25" t="s">
        <v>333</v>
      </c>
      <c r="B50" s="26" t="s">
        <v>327</v>
      </c>
      <c r="C50" s="26" t="s">
        <v>334</v>
      </c>
      <c r="D50" s="27" t="s">
        <v>55</v>
      </c>
      <c r="E50" s="26" t="s">
        <v>329</v>
      </c>
      <c r="F50" s="26" t="s">
        <v>335</v>
      </c>
      <c r="G50" s="27" t="s">
        <v>35</v>
      </c>
      <c r="H50" s="26" t="s">
        <v>20</v>
      </c>
      <c r="I50" s="26" t="s">
        <v>336</v>
      </c>
      <c r="J50" s="26" t="s">
        <v>72</v>
      </c>
      <c r="K50" s="26"/>
      <c r="L50" s="27" t="s">
        <v>5</v>
      </c>
      <c r="M50" s="28"/>
      <c r="N50" s="26"/>
    </row>
    <row r="51" spans="1:14" ht="48" customHeight="1" x14ac:dyDescent="0.45">
      <c r="A51" s="29" t="s">
        <v>337</v>
      </c>
      <c r="B51" s="30" t="s">
        <v>327</v>
      </c>
      <c r="C51" s="30" t="s">
        <v>338</v>
      </c>
      <c r="D51" s="31" t="s">
        <v>82</v>
      </c>
      <c r="E51" s="30" t="s">
        <v>329</v>
      </c>
      <c r="F51" s="30" t="s">
        <v>339</v>
      </c>
      <c r="G51" s="31" t="s">
        <v>37</v>
      </c>
      <c r="H51" s="30" t="s">
        <v>20</v>
      </c>
      <c r="I51" s="30" t="s">
        <v>340</v>
      </c>
      <c r="J51" s="30" t="s">
        <v>72</v>
      </c>
      <c r="K51" s="30"/>
      <c r="L51" s="31" t="s">
        <v>5</v>
      </c>
      <c r="M51" s="32"/>
      <c r="N51" s="30"/>
    </row>
    <row r="52" spans="1:14" ht="14.25" customHeight="1" x14ac:dyDescent="0.45">
      <c r="M52" s="33"/>
    </row>
  </sheetData>
  <autoFilter ref="A3:N51" xr:uid="{00000000-0009-0000-0000-000001000000}"/>
  <mergeCells count="2">
    <mergeCell ref="A1:N1"/>
    <mergeCell ref="A2:N2"/>
  </mergeCells>
  <phoneticPr fontId="22" type="noConversion"/>
  <conditionalFormatting sqref="L4:L51">
    <cfRule type="cellIs" dxfId="7" priority="2" operator="equal">
      <formula>"Complete"</formula>
    </cfRule>
    <cfRule type="cellIs" dxfId="6" priority="3" operator="equal">
      <formula>"In Progress"</formula>
    </cfRule>
    <cfRule type="cellIs" dxfId="5" priority="4" operator="equal">
      <formula>"Blocked"</formula>
    </cfRule>
    <cfRule type="cellIs" dxfId="4" priority="5" operator="equal">
      <formula>"Deferred"</formula>
    </cfRule>
    <cfRule type="cellIs" dxfId="3" priority="6" operator="equal">
      <formula>"Not Started"</formula>
    </cfRule>
  </conditionalFormatting>
  <conditionalFormatting sqref="D4:D51">
    <cfRule type="cellIs" dxfId="2" priority="7" operator="equal">
      <formula>"High"</formula>
    </cfRule>
    <cfRule type="cellIs" dxfId="1" priority="8" operator="equal">
      <formula>"Medium"</formula>
    </cfRule>
    <cfRule type="cellIs" dxfId="0" priority="9" operator="equal">
      <formula>"Low"</formula>
    </cfRule>
  </conditionalFormatting>
  <dataValidations count="3">
    <dataValidation type="list" sqref="D4:D51" xr:uid="{00000000-0002-0000-0100-000000000000}">
      <formula1>"High,Medium,Low"</formula1>
      <formula2>0</formula2>
    </dataValidation>
    <dataValidation type="list" sqref="L4:L51" xr:uid="{00000000-0002-0000-0100-000001000000}">
      <formula1>"Not Started,In Progress,Complete,Blocked,Deferred"</formula1>
      <formula2>0</formula2>
    </dataValidation>
    <dataValidation type="list" allowBlank="1" sqref="H4:H51" xr:uid="{00000000-0002-0000-0100-000002000000}">
      <formula1>"Pratik,Umang,Dol Bahadur,Anjali,Pratik + Umang,Pratik + Anjali,Umang + Dol Bahadur,Anjali + Pratik,Team"</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showGridLines="0" zoomScaleNormal="100" workbookViewId="0"/>
  </sheetViews>
  <sheetFormatPr defaultColWidth="8.6640625" defaultRowHeight="14.25" x14ac:dyDescent="0.45"/>
  <cols>
    <col min="1" max="1" width="22" style="7" customWidth="1"/>
    <col min="2" max="2" width="60" style="7" customWidth="1"/>
    <col min="3" max="3" width="50" style="7" customWidth="1"/>
  </cols>
  <sheetData>
    <row r="1" spans="1:3" ht="19.5" customHeight="1" x14ac:dyDescent="0.6">
      <c r="A1" s="4" t="s">
        <v>341</v>
      </c>
      <c r="B1" s="4"/>
      <c r="C1" s="4"/>
    </row>
    <row r="3" spans="1:3" ht="15" customHeight="1" x14ac:dyDescent="0.45">
      <c r="A3" s="34" t="s">
        <v>342</v>
      </c>
    </row>
    <row r="4" spans="1:3" ht="60" customHeight="1" x14ac:dyDescent="0.45">
      <c r="A4" s="2" t="s">
        <v>343</v>
      </c>
      <c r="B4" s="2"/>
      <c r="C4" s="2"/>
    </row>
    <row r="6" spans="1:3" ht="15" customHeight="1" x14ac:dyDescent="0.45">
      <c r="A6" s="34" t="s">
        <v>344</v>
      </c>
    </row>
    <row r="7" spans="1:3" ht="31.5" customHeight="1" x14ac:dyDescent="0.45">
      <c r="A7" s="24" t="s">
        <v>345</v>
      </c>
      <c r="B7" s="24" t="s">
        <v>346</v>
      </c>
      <c r="C7" s="24" t="s">
        <v>347</v>
      </c>
    </row>
    <row r="8" spans="1:3" ht="31.5" customHeight="1" x14ac:dyDescent="0.45">
      <c r="A8" s="30" t="s">
        <v>39</v>
      </c>
      <c r="B8" s="30" t="s">
        <v>348</v>
      </c>
      <c r="C8" s="30" t="s">
        <v>349</v>
      </c>
    </row>
    <row r="9" spans="1:3" ht="31.5" customHeight="1" x14ac:dyDescent="0.45">
      <c r="A9" s="30" t="s">
        <v>40</v>
      </c>
      <c r="B9" s="30" t="s">
        <v>350</v>
      </c>
      <c r="C9" s="30" t="s">
        <v>351</v>
      </c>
    </row>
    <row r="10" spans="1:3" ht="31.5" customHeight="1" x14ac:dyDescent="0.45">
      <c r="A10" s="30" t="s">
        <v>41</v>
      </c>
      <c r="B10" s="30" t="s">
        <v>352</v>
      </c>
      <c r="C10" s="30" t="s">
        <v>353</v>
      </c>
    </row>
    <row r="11" spans="1:3" ht="31.5" customHeight="1" x14ac:dyDescent="0.45">
      <c r="A11" s="30" t="s">
        <v>42</v>
      </c>
      <c r="B11" s="30" t="s">
        <v>354</v>
      </c>
      <c r="C11" s="30" t="s">
        <v>355</v>
      </c>
    </row>
    <row r="12" spans="1:3" ht="31.5" customHeight="1" x14ac:dyDescent="0.45">
      <c r="A12" s="30" t="s">
        <v>43</v>
      </c>
      <c r="B12" s="30" t="s">
        <v>356</v>
      </c>
      <c r="C12" s="30" t="s">
        <v>351</v>
      </c>
    </row>
    <row r="13" spans="1:3" ht="31.5" customHeight="1" x14ac:dyDescent="0.45">
      <c r="A13" s="30" t="s">
        <v>44</v>
      </c>
      <c r="B13" s="30" t="s">
        <v>357</v>
      </c>
      <c r="C13" s="30" t="s">
        <v>358</v>
      </c>
    </row>
    <row r="14" spans="1:3" ht="31.5" customHeight="1" x14ac:dyDescent="0.45">
      <c r="A14" s="30" t="s">
        <v>45</v>
      </c>
      <c r="B14" s="30" t="s">
        <v>359</v>
      </c>
      <c r="C14" s="30" t="s">
        <v>360</v>
      </c>
    </row>
    <row r="15" spans="1:3" ht="31.5" customHeight="1" x14ac:dyDescent="0.45">
      <c r="A15" s="30" t="s">
        <v>17</v>
      </c>
      <c r="B15" s="30" t="s">
        <v>361</v>
      </c>
      <c r="C15" s="30" t="s">
        <v>362</v>
      </c>
    </row>
    <row r="16" spans="1:3" ht="31.5" customHeight="1" x14ac:dyDescent="0.45">
      <c r="A16" s="30" t="s">
        <v>46</v>
      </c>
      <c r="B16" s="30" t="s">
        <v>363</v>
      </c>
      <c r="C16" s="30" t="s">
        <v>364</v>
      </c>
    </row>
    <row r="17" spans="1:3" ht="31.5" customHeight="1" x14ac:dyDescent="0.45">
      <c r="A17" s="30" t="s">
        <v>47</v>
      </c>
      <c r="B17" s="30" t="s">
        <v>365</v>
      </c>
      <c r="C17" s="30" t="s">
        <v>364</v>
      </c>
    </row>
    <row r="18" spans="1:3" ht="31.5" customHeight="1" x14ac:dyDescent="0.45">
      <c r="A18" s="30" t="s">
        <v>48</v>
      </c>
      <c r="B18" s="30" t="s">
        <v>366</v>
      </c>
      <c r="C18" s="30" t="s">
        <v>367</v>
      </c>
    </row>
    <row r="19" spans="1:3" ht="31.5" customHeight="1" x14ac:dyDescent="0.45">
      <c r="A19" s="30" t="s">
        <v>49</v>
      </c>
      <c r="B19" s="30" t="s">
        <v>368</v>
      </c>
      <c r="C19" s="30" t="s">
        <v>369</v>
      </c>
    </row>
    <row r="20" spans="1:3" ht="31.5" customHeight="1" x14ac:dyDescent="0.45">
      <c r="A20" s="30" t="s">
        <v>50</v>
      </c>
      <c r="B20" s="30" t="s">
        <v>370</v>
      </c>
      <c r="C20" s="30" t="s">
        <v>371</v>
      </c>
    </row>
    <row r="21" spans="1:3" ht="31.5" customHeight="1" x14ac:dyDescent="0.45">
      <c r="A21" s="30" t="s">
        <v>51</v>
      </c>
      <c r="B21" s="30" t="s">
        <v>372</v>
      </c>
      <c r="C21" s="30" t="s">
        <v>373</v>
      </c>
    </row>
    <row r="24" spans="1:3" ht="15" customHeight="1" x14ac:dyDescent="0.45">
      <c r="A24" s="34" t="s">
        <v>374</v>
      </c>
    </row>
    <row r="25" spans="1:3" ht="24" customHeight="1" x14ac:dyDescent="0.45">
      <c r="A25" s="35" t="s">
        <v>5</v>
      </c>
      <c r="B25" s="1" t="s">
        <v>375</v>
      </c>
      <c r="C25" s="1"/>
    </row>
    <row r="26" spans="1:3" ht="24" customHeight="1" x14ac:dyDescent="0.45">
      <c r="A26" s="36" t="s">
        <v>7</v>
      </c>
      <c r="B26" s="1" t="s">
        <v>376</v>
      </c>
      <c r="C26" s="1"/>
    </row>
    <row r="27" spans="1:3" ht="24" customHeight="1" x14ac:dyDescent="0.45">
      <c r="A27" s="37" t="s">
        <v>9</v>
      </c>
      <c r="B27" s="1" t="s">
        <v>377</v>
      </c>
      <c r="C27" s="1"/>
    </row>
    <row r="28" spans="1:3" ht="24" customHeight="1" x14ac:dyDescent="0.45">
      <c r="A28" s="38" t="s">
        <v>11</v>
      </c>
      <c r="B28" s="1" t="s">
        <v>378</v>
      </c>
      <c r="C28" s="1"/>
    </row>
    <row r="29" spans="1:3" ht="24" customHeight="1" x14ac:dyDescent="0.45">
      <c r="A29" s="39" t="s">
        <v>13</v>
      </c>
      <c r="B29" s="1" t="s">
        <v>379</v>
      </c>
      <c r="C29" s="1"/>
    </row>
    <row r="32" spans="1:3" ht="15" customHeight="1" x14ac:dyDescent="0.45">
      <c r="A32" s="34" t="s">
        <v>380</v>
      </c>
    </row>
    <row r="33" spans="1:3" ht="27.75" customHeight="1" x14ac:dyDescent="0.45">
      <c r="A33" s="2" t="s">
        <v>381</v>
      </c>
      <c r="B33" s="2"/>
      <c r="C33" s="2"/>
    </row>
    <row r="34" spans="1:3" ht="27.75" customHeight="1" x14ac:dyDescent="0.45">
      <c r="A34" s="2" t="s">
        <v>382</v>
      </c>
      <c r="B34" s="2"/>
      <c r="C34" s="2"/>
    </row>
    <row r="35" spans="1:3" ht="27.75" customHeight="1" x14ac:dyDescent="0.45">
      <c r="A35" s="2" t="s">
        <v>383</v>
      </c>
      <c r="B35" s="2"/>
      <c r="C35" s="2"/>
    </row>
    <row r="36" spans="1:3" ht="27.75" customHeight="1" x14ac:dyDescent="0.45">
      <c r="A36" s="2" t="s">
        <v>384</v>
      </c>
      <c r="B36" s="2"/>
      <c r="C36" s="2"/>
    </row>
    <row r="37" spans="1:3" ht="27.75" customHeight="1" x14ac:dyDescent="0.45">
      <c r="A37" s="2" t="s">
        <v>385</v>
      </c>
      <c r="B37" s="2"/>
      <c r="C37" s="2"/>
    </row>
    <row r="38" spans="1:3" ht="27.75" customHeight="1" x14ac:dyDescent="0.45">
      <c r="A38" s="2" t="s">
        <v>386</v>
      </c>
      <c r="B38" s="2"/>
      <c r="C38" s="2"/>
    </row>
  </sheetData>
  <mergeCells count="13">
    <mergeCell ref="A36:C36"/>
    <mergeCell ref="A37:C37"/>
    <mergeCell ref="A38:C38"/>
    <mergeCell ref="B28:C28"/>
    <mergeCell ref="B29:C29"/>
    <mergeCell ref="A33:C33"/>
    <mergeCell ref="A34:C34"/>
    <mergeCell ref="A35:C35"/>
    <mergeCell ref="A1:C1"/>
    <mergeCell ref="A4:C4"/>
    <mergeCell ref="B25:C25"/>
    <mergeCell ref="B26:C26"/>
    <mergeCell ref="B27:C27"/>
  </mergeCells>
  <phoneticPr fontId="22"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RTM</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anjali151basnet@outlook.com</cp:lastModifiedBy>
  <cp:revision>0</cp:revision>
  <dcterms:created xsi:type="dcterms:W3CDTF">2026-06-04T04:22:34Z</dcterms:created>
  <dcterms:modified xsi:type="dcterms:W3CDTF">2026-06-11T06:11:41Z</dcterms:modified>
  <dc:language>en-US</dc:language>
</cp:coreProperties>
</file>
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RTM" sheetId="2" state="visible" r:id="rId4"/>
    <sheet name="Legend" sheetId="3" state="visible" r:id="rId5"/>
  </sheets>
  <definedNames>
    <definedName function="false" hidden="true" localSheetId="1" name="_xlnm._FilterDatabase" vbProcedure="false">RTM!$A$3:$N$51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<sst xmlns="http://schemas.openxmlformats.org/spreadsheetml/2006/main" count="653" uniqueCount="348">
  <si>
    <t xml:space="preserve">CrowdFix Nepal — Requirements Traceability Matrix</t>
  </si>
  <si>
    <t xml:space="preserve">Live dashboard — auto-recomputes when the RTM sheet is updated</t>
  </si>
  <si>
    <t xml:space="preserve">OVERALL</t>
  </si>
  <si>
    <t xml:space="preserve">STATUS</t>
  </si>
  <si>
    <t xml:space="preserve">Total Requirements</t>
  </si>
  <si>
    <t xml:space="preserve">Not Started</t>
  </si>
  <si>
    <t xml:space="preserve">Functional (FR)</t>
  </si>
  <si>
    <t xml:space="preserve">In Progress</t>
  </si>
  <si>
    <t xml:space="preserve">Non-Functional (NFR)</t>
  </si>
  <si>
    <t xml:space="preserve">Complete</t>
  </si>
  <si>
    <t xml:space="preserve">High Priority</t>
  </si>
  <si>
    <t xml:space="preserve">Blocked</t>
  </si>
  <si>
    <t xml:space="preserve">Medium Priority</t>
  </si>
  <si>
    <t xml:space="preserve">Deferred</t>
  </si>
  <si>
    <t xml:space="preserve">Low Priority</t>
  </si>
  <si>
    <t xml:space="preserve">% Complete</t>
  </si>
  <si>
    <t xml:space="preserve">BY OWNER</t>
  </si>
  <si>
    <t xml:space="preserve">Owner</t>
  </si>
  <si>
    <t xml:space="preserve">Total</t>
  </si>
  <si>
    <t xml:space="preserve">% Done</t>
  </si>
  <si>
    <t xml:space="preserve">Pratik</t>
  </si>
  <si>
    <t xml:space="preserve">Umang</t>
  </si>
  <si>
    <t xml:space="preserve">Dol Bahadur</t>
  </si>
  <si>
    <t xml:space="preserve">Anjali</t>
  </si>
  <si>
    <t xml:space="preserve">BY BUILD PHASE</t>
  </si>
  <si>
    <t xml:space="preserve">Phase</t>
  </si>
  <si>
    <t xml:space="preserve">Phase 2</t>
  </si>
  <si>
    <t xml:space="preserve">Phase 3</t>
  </si>
  <si>
    <t xml:space="preserve">Phase 4</t>
  </si>
  <si>
    <t xml:space="preserve">Phase 7</t>
  </si>
  <si>
    <t xml:space="preserve">Phase 9</t>
  </si>
  <si>
    <t xml:space="preserve">Phase 10</t>
  </si>
  <si>
    <t xml:space="preserve">Phase 11</t>
  </si>
  <si>
    <t xml:space="preserve">Phase 12</t>
  </si>
  <si>
    <t xml:space="preserve">Phase 13</t>
  </si>
  <si>
    <t xml:space="preserve">Phase 14</t>
  </si>
  <si>
    <t xml:space="preserve">Phase 15</t>
  </si>
  <si>
    <t xml:space="preserve">Phase 16</t>
  </si>
  <si>
    <t xml:space="preserve">Update Status / Test Case ID / Last Updated / Notes columns as work progresses. The Dashboard sheet recomputes automatically.</t>
  </si>
  <si>
    <t xml:space="preserve">Req ID</t>
  </si>
  <si>
    <t xml:space="preserve">Module</t>
  </si>
  <si>
    <t xml:space="preserve">Requirement Description</t>
  </si>
  <si>
    <t xml:space="preserve">Priority</t>
  </si>
  <si>
    <t xml:space="preserve">SRS §</t>
  </si>
  <si>
    <t xml:space="preserve">Design Artifact</t>
  </si>
  <si>
    <t xml:space="preserve">Build Phase</t>
  </si>
  <si>
    <t xml:space="preserve">Backend Component</t>
  </si>
  <si>
    <t xml:space="preserve">Frontend Component</t>
  </si>
  <si>
    <t xml:space="preserve">Test Case ID</t>
  </si>
  <si>
    <t xml:space="preserve">Status</t>
  </si>
  <si>
    <t xml:space="preserve">Last Updated</t>
  </si>
  <si>
    <t xml:space="preserve">Notes</t>
  </si>
  <si>
    <t xml:space="preserve">FR-01</t>
  </si>
  <si>
    <t xml:space="preserve">Authentication</t>
  </si>
  <si>
    <t xml:space="preserve">The system shall allow users to register using email/password or OAuth (Google, Facebook)</t>
  </si>
  <si>
    <t xml:space="preserve">High</t>
  </si>
  <si>
    <t xml:space="preserve">4.1</t>
  </si>
  <si>
    <t xml:space="preserve">UC-Register; Seq 7.3</t>
  </si>
  <si>
    <t xml:space="preserve">POST /api/auth/register; authController.register</t>
  </si>
  <si>
    <t xml:space="preserve">RegisterPage.jsx; AuthContext</t>
  </si>
  <si>
    <t xml:space="preserve">FR-02</t>
  </si>
  <si>
    <t xml:space="preserve">The system shall validate email addresses via a verification link before activating accounts</t>
  </si>
  <si>
    <t xml:space="preserve">GET /api/auth/verify; emailService.sendVerification</t>
  </si>
  <si>
    <t xml:space="preserve">VerifyEmailPage.jsx</t>
  </si>
  <si>
    <t xml:space="preserve">FR-03</t>
  </si>
  <si>
    <t xml:space="preserve">The system shall enforce password hashing (bcrypt, min. cost factor 10)</t>
  </si>
  <si>
    <t xml:space="preserve">Security spec</t>
  </si>
  <si>
    <t xml:space="preserve">authService.hashPassword (bcrypt cost=10)</t>
  </si>
  <si>
    <t xml:space="preserve">—</t>
  </si>
  <si>
    <t xml:space="preserve">FR-04</t>
  </si>
  <si>
    <t xml:space="preserve">The system shall support password reset via email OTP</t>
  </si>
  <si>
    <t xml:space="preserve">UC-ResetPassword</t>
  </si>
  <si>
    <t xml:space="preserve">POST /api/auth/forgot-password; POST /api/auth/reset-password</t>
  </si>
  <si>
    <t xml:space="preserve">ForgotPasswordPage.jsx; ResetPasswordPage.jsx</t>
  </si>
  <si>
    <t xml:space="preserve">FR-05</t>
  </si>
  <si>
    <t xml:space="preserve">The system shall allow users to update their profile name, photo, and contact details</t>
  </si>
  <si>
    <t xml:space="preserve">Medium</t>
  </si>
  <si>
    <t xml:space="preserve">UC-EditProfile</t>
  </si>
  <si>
    <t xml:space="preserve">PATCH /api/users/me; userController.updateProfile</t>
  </si>
  <si>
    <t xml:space="preserve">ProfilePage.jsx</t>
  </si>
  <si>
    <t xml:space="preserve">FR-06</t>
  </si>
  <si>
    <t xml:space="preserve">Admin shall be able to deactivate or ban user accounts</t>
  </si>
  <si>
    <t xml:space="preserve">UC-ManageUsers</t>
  </si>
  <si>
    <t xml:space="preserve">PATCH /api/admin/users/:id/status (role-gated)</t>
  </si>
  <si>
    <t xml:space="preserve">AdminUsersPage.jsx</t>
  </si>
  <si>
    <t xml:space="preserve">FR-07</t>
  </si>
  <si>
    <t xml:space="preserve">Report Submission</t>
  </si>
  <si>
    <t xml:space="preserve">The system shall allow users to submit a report with title, category, description, photo(s), and location</t>
  </si>
  <si>
    <t xml:space="preserve">4.2</t>
  </si>
  <si>
    <t xml:space="preserve">UC-SubmitReport; Seq 7.1</t>
  </si>
  <si>
    <t xml:space="preserve">Pratik + Umang</t>
  </si>
  <si>
    <t xml:space="preserve">POST /api/reports (multer + validation)</t>
  </si>
  <si>
    <t xml:space="preserve">NewReportPage.jsx; ReportForm.jsx</t>
  </si>
  <si>
    <t xml:space="preserve">FR-08</t>
  </si>
  <si>
    <t xml:space="preserve">The system shall auto-detect the user's GPS coordinates and allow manual adjustment on a map</t>
  </si>
  <si>
    <t xml:space="preserve">UC-SubmitReport</t>
  </si>
  <si>
    <t xml:space="preserve">LocationPicker.jsx (Leaflet + Geolocation API)</t>
  </si>
  <si>
    <t xml:space="preserve">FR-09</t>
  </si>
  <si>
    <t xml:space="preserve">The system shall support categories: Infrastructure, Sanitation, Public Safety, Utilities, Environment, Other</t>
  </si>
  <si>
    <t xml:space="preserve">ER: Report.category enum</t>
  </si>
  <si>
    <t xml:space="preserve">Phase 2 + 7</t>
  </si>
  <si>
    <t xml:space="preserve">Pratik + Anjali</t>
  </si>
  <si>
    <t xml:space="preserve">Prisma enum ReportCategory; validation middleware</t>
  </si>
  <si>
    <t xml:space="preserve">CategorySelect.jsx</t>
  </si>
  <si>
    <t xml:space="preserve">FR-10</t>
  </si>
  <si>
    <t xml:space="preserve">The system shall allow up to 5 photos per report, each up to 10 MB</t>
  </si>
  <si>
    <t xml:space="preserve">Constraint 3.5</t>
  </si>
  <si>
    <t xml:space="preserve">multer fileFilter + size limit; Cloudinary upload</t>
  </si>
  <si>
    <t xml:space="preserve">PhotoUploader.jsx (max 5, 10MB validation)</t>
  </si>
  <si>
    <t xml:space="preserve">FR-11</t>
  </si>
  <si>
    <t xml:space="preserve">The system shall assign a unique report ID and timestamp upon submission</t>
  </si>
  <si>
    <t xml:space="preserve">ER: Report.id, Report.createdAt</t>
  </si>
  <si>
    <t xml:space="preserve">Anjali + Pratik</t>
  </si>
  <si>
    <t xml:space="preserve">Prisma cuid() default; createdAt @default(now())</t>
  </si>
  <si>
    <t xml:space="preserve">FR-12</t>
  </si>
  <si>
    <t xml:space="preserve">The system shall allow draft saving for offline submissions</t>
  </si>
  <si>
    <t xml:space="preserve">Low</t>
  </si>
  <si>
    <t xml:space="preserve">Phase 7 (defer to mobile)</t>
  </si>
  <si>
    <t xml:space="preserve">Draft localStorage; mark as out-of-web-scope</t>
  </si>
  <si>
    <t xml:space="preserve">FR-13</t>
  </si>
  <si>
    <t xml:space="preserve">The system shall allow the reporter to edit a report within 30 minutes of submission</t>
  </si>
  <si>
    <t xml:space="preserve">UC-EditReport</t>
  </si>
  <si>
    <t xml:space="preserve">PATCH /api/reports/:id (time-window check)</t>
  </si>
  <si>
    <t xml:space="preserve">EditReportPage.jsx</t>
  </si>
  <si>
    <t xml:space="preserve">FR-14</t>
  </si>
  <si>
    <t xml:space="preserve">Upvotes &amp; Comments</t>
  </si>
  <si>
    <t xml:space="preserve">The system shall allow registered users to upvote any report (one upvote per user per report)</t>
  </si>
  <si>
    <t xml:space="preserve">4.3</t>
  </si>
  <si>
    <t xml:space="preserve">ER: Upvote (userId+reportId unique)</t>
  </si>
  <si>
    <t xml:space="preserve">POST /api/reports/:id/upvote; unique constraint</t>
  </si>
  <si>
    <t xml:space="preserve">UpvoteButton.jsx (optimistic update)</t>
  </si>
  <si>
    <t xml:space="preserve">FR-15</t>
  </si>
  <si>
    <t xml:space="preserve">The system shall allow users to retract their upvote</t>
  </si>
  <si>
    <t xml:space="preserve">ER: Upvote</t>
  </si>
  <si>
    <t xml:space="preserve">DELETE /api/reports/:id/upvote</t>
  </si>
  <si>
    <t xml:space="preserve">UpvoteButton.jsx (toggle)</t>
  </si>
  <si>
    <t xml:space="preserve">FR-16</t>
  </si>
  <si>
    <t xml:space="preserve">The system shall allow registered users to post text comments on any report</t>
  </si>
  <si>
    <t xml:space="preserve">ER: Comment</t>
  </si>
  <si>
    <t xml:space="preserve">POST /api/reports/:id/comments</t>
  </si>
  <si>
    <t xml:space="preserve">CommentForm.jsx; CommentThread.jsx</t>
  </si>
  <si>
    <t xml:space="preserve">FR-17</t>
  </si>
  <si>
    <t xml:space="preserve">The system shall allow comment authors to delete their own comments</t>
  </si>
  <si>
    <t xml:space="preserve">ER: Comment.userId</t>
  </si>
  <si>
    <t xml:space="preserve">DELETE /api/comments/:id (ownership check)</t>
  </si>
  <si>
    <t xml:space="preserve">CommentItem.jsx delete action</t>
  </si>
  <si>
    <t xml:space="preserve">FR-18</t>
  </si>
  <si>
    <t xml:space="preserve">The system shall allow admins to moderate and remove inappropriate comments</t>
  </si>
  <si>
    <t xml:space="preserve">UC-Moderate</t>
  </si>
  <si>
    <t xml:space="preserve">DELETE /api/admin/comments/:id (role-gated)</t>
  </si>
  <si>
    <t xml:space="preserve">AdminModerationPage.jsx</t>
  </si>
  <si>
    <t xml:space="preserve">FR-19</t>
  </si>
  <si>
    <t xml:space="preserve">Status Lifecycle</t>
  </si>
  <si>
    <t xml:space="preserve">The system shall support report lifecycle statuses: Open, Assigned, In Progress, Resolved, Closed</t>
  </si>
  <si>
    <t xml:space="preserve">4.4</t>
  </si>
  <si>
    <t xml:space="preserve">ER: Report.status enum</t>
  </si>
  <si>
    <t xml:space="preserve">Phase 2 + 11</t>
  </si>
  <si>
    <t xml:space="preserve">Prisma enum ReportStatus; state-machine validator</t>
  </si>
  <si>
    <t xml:space="preserve">StatusPill.jsx</t>
  </si>
  <si>
    <t xml:space="preserve">FR-20</t>
  </si>
  <si>
    <t xml:space="preserve">Municipal authorities shall be able to update report status from their dashboard</t>
  </si>
  <si>
    <t xml:space="preserve">UC-UpdateStatus; Seq 7.2</t>
  </si>
  <si>
    <t xml:space="preserve">PATCH /api/reports/:id/status (authority role)</t>
  </si>
  <si>
    <t xml:space="preserve">DashboardPage.jsx; StatusUpdateModal.jsx</t>
  </si>
  <si>
    <t xml:space="preserve">FR-21</t>
  </si>
  <si>
    <t xml:space="preserve">Authorities may attach resolution notes and photos when marking a report as Resolved</t>
  </si>
  <si>
    <t xml:space="preserve">ER: Report.resolutionNote, Media</t>
  </si>
  <si>
    <t xml:space="preserve">PATCH /api/reports/:id (resolution payload)</t>
  </si>
  <si>
    <t xml:space="preserve">ResolveReportModal.jsx</t>
  </si>
  <si>
    <t xml:space="preserve">FR-22</t>
  </si>
  <si>
    <t xml:space="preserve">The original reporter shall be notified of every status change via push and/or email notification</t>
  </si>
  <si>
    <t xml:space="preserve">UC-NotifyUser</t>
  </si>
  <si>
    <t xml:space="preserve">notificationService.onStatusChange; Nodemailer</t>
  </si>
  <si>
    <t xml:space="preserve">NotificationsPage.jsx; UnreadBadge.jsx</t>
  </si>
  <si>
    <t xml:space="preserve">FR-23</t>
  </si>
  <si>
    <t xml:space="preserve">The system shall automatically close reports Resolved for more than 7 days without dispute</t>
  </si>
  <si>
    <t xml:space="preserve">Scheduled job</t>
  </si>
  <si>
    <t xml:space="preserve">Phase 15 (defer)</t>
  </si>
  <si>
    <t xml:space="preserve">cron job: closeStaleResolvedReports()</t>
  </si>
  <si>
    <t xml:space="preserve">FR-24</t>
  </si>
  <si>
    <t xml:space="preserve">Map View</t>
  </si>
  <si>
    <t xml:space="preserve">The system shall display all Open and In Progress reports on an interactive map</t>
  </si>
  <si>
    <t xml:space="preserve">4.5</t>
  </si>
  <si>
    <t xml:space="preserve">UC-ViewMap</t>
  </si>
  <si>
    <t xml:space="preserve">GET /api/reports?status=Open,InProgress</t>
  </si>
  <si>
    <t xml:space="preserve">MapPage.jsx (react-leaflet)</t>
  </si>
  <si>
    <t xml:space="preserve">FR-25</t>
  </si>
  <si>
    <t xml:space="preserve">Map pins shall be color-coded by report category</t>
  </si>
  <si>
    <t xml:space="preserve">Design tokens (mockup)</t>
  </si>
  <si>
    <t xml:space="preserve">MapPin.jsx (category→color mapping)</t>
  </si>
  <si>
    <t xml:space="preserve">FR-26</t>
  </si>
  <si>
    <t xml:space="preserve">Users shall be able to filter map by category, status, and date range</t>
  </si>
  <si>
    <t xml:space="preserve">UC-FilterMap</t>
  </si>
  <si>
    <t xml:space="preserve">GET /api/reports?category=&amp;status=&amp;from=&amp;to=</t>
  </si>
  <si>
    <t xml:space="preserve">MapFilters.jsx</t>
  </si>
  <si>
    <t xml:space="preserve">FR-27</t>
  </si>
  <si>
    <t xml:space="preserve">Clicking a map pin shall display a report summary and link to the full report</t>
  </si>
  <si>
    <t xml:space="preserve">MapPin.jsx Popup; ReportDetailPage.jsx link</t>
  </si>
  <si>
    <t xml:space="preserve">FR-28</t>
  </si>
  <si>
    <t xml:space="preserve">Authority Dashboard</t>
  </si>
  <si>
    <t xml:space="preserve">Authority users shall have a dedicated dashboard listing all reports in their jurisdiction</t>
  </si>
  <si>
    <t xml:space="preserve">4.6</t>
  </si>
  <si>
    <t xml:space="preserve">ER: Authority.jurisdiction</t>
  </si>
  <si>
    <t xml:space="preserve">GET /api/authority/reports (jurisdiction filter)</t>
  </si>
  <si>
    <t xml:space="preserve">DashboardPage.jsx (mockup match)</t>
  </si>
  <si>
    <t xml:space="preserve">FR-29</t>
  </si>
  <si>
    <t xml:space="preserve">The dashboard shall support sorting by date, upvotes, category, and status</t>
  </si>
  <si>
    <t xml:space="preserve">Prisma orderBy via query params</t>
  </si>
  <si>
    <t xml:space="preserve">DashboardTable.jsx (sortable headers)</t>
  </si>
  <si>
    <t xml:space="preserve">FR-30</t>
  </si>
  <si>
    <t xml:space="preserve">Authorities shall be able to assign reports to specific field officers</t>
  </si>
  <si>
    <t xml:space="preserve">ER: Report.assigneeId</t>
  </si>
  <si>
    <t xml:space="preserve">POST /api/authority/assign</t>
  </si>
  <si>
    <t xml:space="preserve">AssignReportModal.jsx</t>
  </si>
  <si>
    <t xml:space="preserve">FR-31</t>
  </si>
  <si>
    <t xml:space="preserve">Authorities shall be able to export reports as CSV or PDF</t>
  </si>
  <si>
    <t xml:space="preserve">GET /api/authority/export?format=csv|pdf (papaparse, pdfkit)</t>
  </si>
  <si>
    <t xml:space="preserve">ExportButton.jsx</t>
  </si>
  <si>
    <t xml:space="preserve">NFR-01</t>
  </si>
  <si>
    <t xml:space="preserve">Performance</t>
  </si>
  <si>
    <t xml:space="preserve">The system shall support at least 1,000 concurrent users without degradation</t>
  </si>
  <si>
    <t xml:space="preserve">5.1</t>
  </si>
  <si>
    <t xml:space="preserve">Architecture; load test</t>
  </si>
  <si>
    <t xml:space="preserve">Phase 13/15</t>
  </si>
  <si>
    <t xml:space="preserve">Connection pooling; Render autoscale</t>
  </si>
  <si>
    <t xml:space="preserve">NFR-02</t>
  </si>
  <si>
    <t xml:space="preserve">API responses shall be delivered within 2 seconds under normal load (95th percentile)</t>
  </si>
  <si>
    <t xml:space="preserve">Architecture</t>
  </si>
  <si>
    <t xml:space="preserve">DB indexes; query optimization; caching</t>
  </si>
  <si>
    <t xml:space="preserve">NFR-03</t>
  </si>
  <si>
    <t xml:space="preserve">Map tile rendering shall complete within 3 seconds on a 4G connection</t>
  </si>
  <si>
    <t xml:space="preserve">Phase 10/13</t>
  </si>
  <si>
    <t xml:space="preserve">OSM tile caching; pin clustering</t>
  </si>
  <si>
    <t xml:space="preserve">NFR-04</t>
  </si>
  <si>
    <t xml:space="preserve">Security</t>
  </si>
  <si>
    <t xml:space="preserve">All data in transit shall be encrypted using TLS 1.2 or higher</t>
  </si>
  <si>
    <t xml:space="preserve">5.2</t>
  </si>
  <si>
    <t xml:space="preserve">Deployment spec</t>
  </si>
  <si>
    <t xml:space="preserve">HTTPS on Render/Vercel (auto-managed)</t>
  </si>
  <si>
    <t xml:space="preserve">NFR-05</t>
  </si>
  <si>
    <t xml:space="preserve">Passwords shall be hashed with bcrypt with a minimum cost factor of 10</t>
  </si>
  <si>
    <t xml:space="preserve">Same as FR-03</t>
  </si>
  <si>
    <t xml:space="preserve">bcrypt.hash(pwd, 10)</t>
  </si>
  <si>
    <t xml:space="preserve">NFR-06</t>
  </si>
  <si>
    <t xml:space="preserve">The system shall implement JWT-based stateless authentication with 1-hour expiry</t>
  </si>
  <si>
    <t xml:space="preserve">Auth middleware</t>
  </si>
  <si>
    <t xml:space="preserve">jsonwebtoken sign w/ expiresIn:'1h'; authMiddleware</t>
  </si>
  <si>
    <t xml:space="preserve">axios interceptor (token refresh on 401)</t>
  </si>
  <si>
    <t xml:space="preserve">NFR-07</t>
  </si>
  <si>
    <t xml:space="preserve">The system shall implement rate limiting: max 100 API requests per minute per user</t>
  </si>
  <si>
    <t xml:space="preserve">Middleware</t>
  </si>
  <si>
    <t xml:space="preserve">express-rate-limit middleware</t>
  </si>
  <si>
    <t xml:space="preserve">NFR-08</t>
  </si>
  <si>
    <t xml:space="preserve">User location data shall never be exposed at street-level precision on the public map</t>
  </si>
  <si>
    <t xml:space="preserve">Map view spec</t>
  </si>
  <si>
    <t xml:space="preserve">Coordinate fuzzing service (~50m radius)</t>
  </si>
  <si>
    <t xml:space="preserve">MapPage.jsx uses fuzzed coords</t>
  </si>
  <si>
    <t xml:space="preserve">NFR-09</t>
  </si>
  <si>
    <t xml:space="preserve">Reliability</t>
  </si>
  <si>
    <t xml:space="preserve">The system shall maintain 99.5% uptime measured monthly</t>
  </si>
  <si>
    <t xml:space="preserve">5.3</t>
  </si>
  <si>
    <t xml:space="preserve">Deployment SLA</t>
  </si>
  <si>
    <t xml:space="preserve">Render free tier monitoring; health checks</t>
  </si>
  <si>
    <t xml:space="preserve">NFR-10</t>
  </si>
  <si>
    <t xml:space="preserve">The system shall perform automated database backups every 24 hours</t>
  </si>
  <si>
    <t xml:space="preserve">Render PostgreSQL daily backup (built-in)</t>
  </si>
  <si>
    <t xml:space="preserve">NFR-11</t>
  </si>
  <si>
    <t xml:space="preserve">Recovery Time Objective (RTO) shall be less than 4 hours</t>
  </si>
  <si>
    <t xml:space="preserve">Documented restore runbook</t>
  </si>
  <si>
    <t xml:space="preserve">NFR-12</t>
  </si>
  <si>
    <t xml:space="preserve">Usability</t>
  </si>
  <si>
    <t xml:space="preserve">New users shall be able to submit their first report within 5 minutes without training</t>
  </si>
  <si>
    <t xml:space="preserve">5.4</t>
  </si>
  <si>
    <t xml:space="preserve">Mockup UX</t>
  </si>
  <si>
    <t xml:space="preserve">Phase 5-7</t>
  </si>
  <si>
    <t xml:space="preserve">Umang + Dol Bahadur</t>
  </si>
  <si>
    <t xml:space="preserve">Onboarding flow; minimal required fields</t>
  </si>
  <si>
    <t xml:space="preserve">NFR-13</t>
  </si>
  <si>
    <t xml:space="preserve">The UI shall comply with WCAG 2.1 Level AA accessibility guidelines</t>
  </si>
  <si>
    <t xml:space="preserve">WCAG checklist</t>
  </si>
  <si>
    <t xml:space="preserve">Phase 5-12</t>
  </si>
  <si>
    <t xml:space="preserve">Semantic HTML; aria-* attrs; color contrast</t>
  </si>
  <si>
    <t xml:space="preserve">NFR-14</t>
  </si>
  <si>
    <t xml:space="preserve">The application shall support English and Korean languages (i18n-ready) [SRS as-written; project context implies Nepali — confirm with team]</t>
  </si>
  <si>
    <t xml:space="preserve">i18n</t>
  </si>
  <si>
    <t xml:space="preserve">Phase 5+</t>
  </si>
  <si>
    <t xml:space="preserve">react-i18next; en.json / ne.json bundles</t>
  </si>
  <si>
    <t xml:space="preserve">NFR-15</t>
  </si>
  <si>
    <t xml:space="preserve">Maintainability</t>
  </si>
  <si>
    <t xml:space="preserve">The codebase shall maintain a test coverage of at least 70%</t>
  </si>
  <si>
    <t xml:space="preserve">5.5</t>
  </si>
  <si>
    <t xml:space="preserve">Test plan</t>
  </si>
  <si>
    <t xml:space="preserve">Jest + Supertest (backend)</t>
  </si>
  <si>
    <t xml:space="preserve">React Testing Library (frontend)</t>
  </si>
  <si>
    <t xml:space="preserve">NFR-16</t>
  </si>
  <si>
    <t xml:space="preserve">The system shall use a CI/CD pipeline (GitHub Actions) for automated testing and deployment</t>
  </si>
  <si>
    <t xml:space="preserve">DevOps</t>
  </si>
  <si>
    <t xml:space="preserve">.github/workflows/ci.yml; deploy.yml</t>
  </si>
  <si>
    <t xml:space="preserve">NFR-17</t>
  </si>
  <si>
    <t xml:space="preserve">All API endpoints shall be documented using Swagger/OpenAPI 3.0</t>
  </si>
  <si>
    <t xml:space="preserve">API docs</t>
  </si>
  <si>
    <t xml:space="preserve">swagger-jsdoc + swagger-ui-express</t>
  </si>
  <si>
    <t xml:space="preserve">How to use this RTM</t>
  </si>
  <si>
    <t xml:space="preserve">What is a Requirements Traceability Matrix?</t>
  </si>
  <si>
    <t xml:space="preserve">An RTM links each requirement from the SRS to (1) the design artifact that covers it, (2) the code/component that implements it, (3) the test case that verifies it, and (4) its current status. It's the single source of truth for 'is this project actually delivering what the SRS promised?' — and the document the professor / project committee uses to grade requirement coverage.</t>
  </si>
  <si>
    <t xml:space="preserve">Column glossary</t>
  </si>
  <si>
    <t xml:space="preserve">Column</t>
  </si>
  <si>
    <t xml:space="preserve">Meaning</t>
  </si>
  <si>
    <t xml:space="preserve">How to update</t>
  </si>
  <si>
    <t xml:space="preserve">Matches the SRS exactly (FR-01 .. FR-31, NFR-01 .. NFR-17).</t>
  </si>
  <si>
    <t xml:space="preserve">Do not edit. If a new requirement is added to the SRS, add a new row.</t>
  </si>
  <si>
    <t xml:space="preserve">Feature area (Authentication, Report Submission, etc.).</t>
  </si>
  <si>
    <t xml:space="preserve">Set once.</t>
  </si>
  <si>
    <t xml:space="preserve">Verbatim wording from SRS §4 / §5.</t>
  </si>
  <si>
    <t xml:space="preserve">Update only if SRS text changes.</t>
  </si>
  <si>
    <t xml:space="preserve">High / Medium / Low — from SRS priority column.</t>
  </si>
  <si>
    <t xml:space="preserve">Dropdown. Change if priorities shift.</t>
  </si>
  <si>
    <t xml:space="preserve">Section number in the SRS where the requirement lives.</t>
  </si>
  <si>
    <t xml:space="preserve">Use case, sequence diagram, or ER entity that designs the requirement.</t>
  </si>
  <si>
    <t xml:space="preserve">Update as new diagrams are added.</t>
  </si>
  <si>
    <t xml:space="preserve">Roadmap phase that will implement the requirement.</t>
  </si>
  <si>
    <t xml:space="preserve">Re-plan if scheduling changes.</t>
  </si>
  <si>
    <t xml:space="preserve">Teammate(s) responsible.</t>
  </si>
  <si>
    <t xml:space="preserve">Dropdown. Reassign as needed.</t>
  </si>
  <si>
    <t xml:space="preserve">Route / controller / service that implements the requirement on the server.</t>
  </si>
  <si>
    <t xml:space="preserve">Fill in as code lands.</t>
  </si>
  <si>
    <t xml:space="preserve">React page or component that surfaces the requirement to the user.</t>
  </si>
  <si>
    <t xml:space="preserve">Identifier of the test that proves the requirement works (e.g. TC-AUTH-01).</t>
  </si>
  <si>
    <t xml:space="preserve">QA fills in during Phase 13.</t>
  </si>
  <si>
    <t xml:space="preserve">Not Started / In Progress / Complete / Blocked / Deferred.</t>
  </si>
  <si>
    <t xml:space="preserve">Dropdown — this is what drives the Dashboard.</t>
  </si>
  <si>
    <t xml:space="preserve">Date of the most recent status change. Format: YYYY-MM-DD.</t>
  </si>
  <si>
    <t xml:space="preserve">Update every time Status changes.</t>
  </si>
  <si>
    <t xml:space="preserve">Anything else — risks, decisions, blockers, links to PRs.</t>
  </si>
  <si>
    <t xml:space="preserve">Free text.</t>
  </si>
  <si>
    <t xml:space="preserve">Status color coding</t>
  </si>
  <si>
    <t xml:space="preserve">Default — work has not begun.</t>
  </si>
  <si>
    <t xml:space="preserve">Actively being built. Owner is heads-down on it now.</t>
  </si>
  <si>
    <t xml:space="preserve">Built, tested, merged to dev, ticked off the SRS.</t>
  </si>
  <si>
    <t xml:space="preserve">Cannot proceed — dependency missing / decision pending.</t>
  </si>
  <si>
    <t xml:space="preserve">Consciously pushed to a later phase or out of scope.</t>
  </si>
  <si>
    <t xml:space="preserve">Update protocol — how the team keeps this alive</t>
  </si>
  <si>
    <t xml:space="preserve">1. Whenever someone starts work on a requirement, they flip its Status to 'In Progress' and set Last Updated to today.</t>
  </si>
  <si>
    <t xml:space="preserve">2. When code lands on the dev branch, the implementer fills in Backend Component / Frontend Component with the actual file paths.</t>
  </si>
  <si>
    <t xml:space="preserve">3. QA (Anjali) assigns a Test Case ID once a test exists.</t>
  </si>
  <si>
    <t xml:space="preserve">4. When a feature is merged + tested + reviewed, Status → 'Complete'. The Dashboard's % Complete ticks up automatically.</t>
  </si>
  <si>
    <t xml:space="preserve">5. If anything blocks progress, flip to 'Blocked' and note the dependency in the Notes column. Bring it up at the next standup.</t>
  </si>
  <si>
    <t xml:space="preserve">6. Commit the updated RTM to docs/ at every checkpoint: 'docs(rtm): update status after Phase N'.</t>
  </si>
</sst>
</file>

<file path=xl/styles.xml><?xml version="1.0" encoding="utf-8"?>
<styleSheet xmlns="http://schemas.openxmlformats.org/spreadsheetml/2006/main">
  <numFmts count="3">
    <numFmt numFmtId="164" formatCode="General"/>
    <numFmt numFmtId="165" formatCode="General"/>
    <numFmt numFmtId="166" formatCode="0.0%"/>
  </numFmts>
  <fonts count="25">
    <font>
      <sz val="11"/>
      <color theme="1"/>
      <name val="Calibri"/>
      <family val="2"/>
      <charset val="1"/>
    </font>
    <font>
      <sz val="10"/>
      <name val="Arial"/>
      <family val="0"/>
    </font>
    <font>
      <sz val="10"/>
      <name val="Arial"/>
      <family val="0"/>
    </font>
    <font>
      <sz val="10"/>
      <name val="Arial"/>
      <family val="0"/>
    </font>
    <font>
      <b val="true"/>
      <sz val="18"/>
      <color rgb="FFA30D2C"/>
      <name val="Arial"/>
      <family val="0"/>
      <charset val="1"/>
    </font>
    <font>
      <i val="true"/>
      <sz val="10"/>
      <color rgb="FF78716C"/>
      <name val="Arial"/>
      <family val="0"/>
      <charset val="1"/>
    </font>
    <font>
      <b val="true"/>
      <sz val="12"/>
      <color rgb="FF1C1917"/>
      <name val="Arial"/>
      <family val="0"/>
      <charset val="1"/>
    </font>
    <font>
      <sz val="10"/>
      <name val="Arial"/>
      <family val="0"/>
      <charset val="1"/>
    </font>
    <font>
      <b val="true"/>
      <sz val="10"/>
      <color rgb="FF003893"/>
      <name val="Arial"/>
      <family val="0"/>
      <charset val="1"/>
    </font>
    <font>
      <sz val="10"/>
      <color rgb="FF78716C"/>
      <name val="Arial"/>
      <family val="0"/>
      <charset val="1"/>
    </font>
    <font>
      <b val="true"/>
      <sz val="10"/>
      <color rgb="FF78716C"/>
      <name val="Arial"/>
      <family val="0"/>
      <charset val="1"/>
    </font>
    <font>
      <sz val="10"/>
      <color rgb="FFE07B14"/>
      <name val="Arial"/>
      <family val="0"/>
      <charset val="1"/>
    </font>
    <font>
      <b val="true"/>
      <sz val="10"/>
      <color rgb="FFE07B14"/>
      <name val="Arial"/>
      <family val="0"/>
      <charset val="1"/>
    </font>
    <font>
      <sz val="10"/>
      <color rgb="FF0F766E"/>
      <name val="Arial"/>
      <family val="0"/>
      <charset val="1"/>
    </font>
    <font>
      <b val="true"/>
      <sz val="10"/>
      <color rgb="FF0F766E"/>
      <name val="Arial"/>
      <family val="0"/>
      <charset val="1"/>
    </font>
    <font>
      <sz val="10"/>
      <color rgb="FFDC143C"/>
      <name val="Arial"/>
      <family val="0"/>
      <charset val="1"/>
    </font>
    <font>
      <b val="true"/>
      <sz val="10"/>
      <color rgb="FFDC143C"/>
      <name val="Arial"/>
      <family val="0"/>
      <charset val="1"/>
    </font>
    <font>
      <sz val="10"/>
      <color rgb="FFA8A29E"/>
      <name val="Arial"/>
      <family val="0"/>
      <charset val="1"/>
    </font>
    <font>
      <b val="true"/>
      <sz val="10"/>
      <color rgb="FFA8A29E"/>
      <name val="Arial"/>
      <family val="0"/>
      <charset val="1"/>
    </font>
    <font>
      <b val="true"/>
      <sz val="10"/>
      <color rgb="FF1C1917"/>
      <name val="Arial"/>
      <family val="0"/>
      <charset val="1"/>
    </font>
    <font>
      <b val="true"/>
      <sz val="10"/>
      <color rgb="FFFFFFFF"/>
      <name val="Arial"/>
      <family val="0"/>
      <charset val="1"/>
    </font>
    <font>
      <b val="true"/>
      <sz val="16"/>
      <color rgb="FFA30D2C"/>
      <name val="Arial"/>
      <family val="0"/>
      <charset val="1"/>
    </font>
    <font>
      <i val="true"/>
      <sz val="9"/>
      <color rgb="FF78716C"/>
      <name val="Arial"/>
      <family val="0"/>
      <charset val="1"/>
    </font>
    <font>
      <b val="true"/>
      <sz val="11"/>
      <color rgb="FFFFFFFF"/>
      <name val="Arial"/>
      <family val="0"/>
      <charset val="1"/>
    </font>
    <font>
      <b val="true"/>
      <sz val="10"/>
      <color rgb="FFA30D2C"/>
      <name val="Arial"/>
      <family val="0"/>
      <charset val="1"/>
    </font>
  </fonts>
  <fills count="9">
    <fill>
      <patternFill patternType="none"/>
    </fill>
    <fill>
      <patternFill patternType="gray125"/>
    </fill>
    <fill>
      <patternFill patternType="solid">
        <fgColor rgb="FFFBF8F3"/>
        <bgColor rgb="FFF5F5F4"/>
      </patternFill>
    </fill>
    <fill>
      <patternFill patternType="solid">
        <fgColor rgb="FF003893"/>
        <bgColor rgb="FF333399"/>
      </patternFill>
    </fill>
    <fill>
      <patternFill patternType="solid">
        <fgColor rgb="FFFFFFFF"/>
        <bgColor rgb="FFFBF8F3"/>
      </patternFill>
    </fill>
    <fill>
      <patternFill patternType="solid">
        <fgColor rgb="FFFEF3E2"/>
        <bgColor rgb="FFFDECEF"/>
      </patternFill>
    </fill>
    <fill>
      <patternFill patternType="solid">
        <fgColor rgb="FFD1FAE5"/>
        <bgColor rgb="FFF5F5F4"/>
      </patternFill>
    </fill>
    <fill>
      <patternFill patternType="solid">
        <fgColor rgb="FFFDECEF"/>
        <bgColor rgb="FFFEF3E2"/>
      </patternFill>
    </fill>
    <fill>
      <patternFill patternType="solid">
        <fgColor rgb="FFF5F5F4"/>
        <bgColor rgb="FFFBF8F3"/>
      </patternFill>
    </fill>
  </fills>
  <borders count="2">
    <border diagonalUp="false" diagonalDown="false">
      <left/>
      <right/>
      <top/>
      <bottom/>
      <diagonal/>
    </border>
    <border diagonalUp="false" diagonalDown="false">
      <left style="thin">
        <color rgb="FFDDD1BD"/>
      </left>
      <right style="thin">
        <color rgb="FFDDD1BD"/>
      </right>
      <top style="thin">
        <color rgb="FFDDD1BD"/>
      </top>
      <bottom style="thin">
        <color rgb="FFDDD1B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right"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right"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true" applyProtection="false">
      <alignment horizontal="right"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true" applyProtection="false">
      <alignment horizontal="right"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5" fontId="16" fillId="0" borderId="0" xfId="0" applyFont="true" applyBorder="false" applyAlignment="true" applyProtection="false">
      <alignment horizontal="right"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5" fontId="18" fillId="0" borderId="0" xfId="0" applyFont="true" applyBorder="false" applyAlignment="true" applyProtection="false">
      <alignment horizontal="right"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right" vertical="bottom" textRotation="0" wrapText="false" indent="0" shrinkToFit="false"/>
      <protection locked="true" hidden="false"/>
    </xf>
    <xf numFmtId="164" fontId="20" fillId="3" borderId="0" xfId="0" applyFont="true" applyBorder="false" applyAlignment="true" applyProtection="false">
      <alignment horizontal="center" vertical="bottom" textRotation="0" wrapText="false" indent="0" shrinkToFit="false"/>
      <protection locked="true" hidden="false"/>
    </xf>
    <xf numFmtId="164" fontId="21" fillId="0" borderId="0" xfId="0" applyFont="true" applyBorder="true" applyAlignment="false" applyProtection="false">
      <alignment horizontal="general" vertical="bottom" textRotation="0" wrapText="false" indent="0" shrinkToFit="false"/>
      <protection locked="true" hidden="false"/>
    </xf>
    <xf numFmtId="164" fontId="22" fillId="0" borderId="0" xfId="0" applyFont="true" applyBorder="true" applyAlignment="false" applyProtection="false">
      <alignment horizontal="general" vertical="bottom" textRotation="0" wrapText="false" indent="0" shrinkToFit="false"/>
      <protection locked="true" hidden="false"/>
    </xf>
    <xf numFmtId="164" fontId="23" fillId="3" borderId="1" xfId="0" applyFont="true" applyBorder="true" applyAlignment="true" applyProtection="false">
      <alignment horizontal="center" vertical="center" textRotation="0" wrapText="true" indent="0" shrinkToFit="false"/>
      <protection locked="true" hidden="false"/>
    </xf>
    <xf numFmtId="164" fontId="24" fillId="2" borderId="1" xfId="0" applyFont="true" applyBorder="true" applyAlignment="true" applyProtection="false">
      <alignment horizontal="center" vertical="top" textRotation="0" wrapText="true" indent="0" shrinkToFit="false"/>
      <protection locked="true" hidden="false"/>
    </xf>
    <xf numFmtId="164" fontId="7" fillId="2" borderId="1" xfId="0" applyFont="true" applyBorder="true" applyAlignment="true" applyProtection="false">
      <alignment horizontal="left" vertical="top" textRotation="0" wrapText="true" indent="0" shrinkToFit="false"/>
      <protection locked="true" hidden="false"/>
    </xf>
    <xf numFmtId="164" fontId="7" fillId="2" borderId="1" xfId="0" applyFont="true" applyBorder="true" applyAlignment="true" applyProtection="false">
      <alignment horizontal="center" vertical="top" textRotation="0" wrapText="true" indent="0" shrinkToFit="false"/>
      <protection locked="true" hidden="false"/>
    </xf>
    <xf numFmtId="164" fontId="24"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0" fillId="4" borderId="1" xfId="0" applyFont="true" applyBorder="true" applyAlignment="true" applyProtection="false">
      <alignment horizontal="center" vertical="center" textRotation="0" wrapText="false" indent="0" shrinkToFit="false"/>
      <protection locked="true" hidden="false"/>
    </xf>
    <xf numFmtId="164" fontId="12" fillId="5" borderId="1" xfId="0" applyFont="true" applyBorder="true" applyAlignment="true" applyProtection="false">
      <alignment horizontal="center" vertical="center" textRotation="0" wrapText="false" indent="0" shrinkToFit="false"/>
      <protection locked="true" hidden="false"/>
    </xf>
    <xf numFmtId="164" fontId="14" fillId="6" borderId="1" xfId="0" applyFont="true" applyBorder="true" applyAlignment="true" applyProtection="false">
      <alignment horizontal="center" vertical="center" textRotation="0" wrapText="false" indent="0" shrinkToFit="false"/>
      <protection locked="true" hidden="false"/>
    </xf>
    <xf numFmtId="164" fontId="24" fillId="7" borderId="1" xfId="0" applyFont="true" applyBorder="true" applyAlignment="true" applyProtection="false">
      <alignment horizontal="center" vertical="center" textRotation="0" wrapText="false" indent="0" shrinkToFit="false"/>
      <protection locked="true" hidden="false"/>
    </xf>
    <xf numFmtId="164" fontId="10" fillId="8" borderId="1"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003893"/>
          <bgColor rgb="FF000000"/>
        </patternFill>
      </fill>
    </dxf>
    <dxf>
      <fill>
        <patternFill patternType="solid">
          <fgColor rgb="FFFBF8F3"/>
          <bgColor rgb="FF000000"/>
        </patternFill>
      </fill>
    </dxf>
    <dxf>
      <fill>
        <patternFill patternType="solid">
          <bgColor rgb="FF000000"/>
        </patternFill>
      </fill>
    </dxf>
    <dxf>
      <fill>
        <patternFill patternType="solid">
          <fgColor rgb="FFA30D2C"/>
          <bgColor rgb="FF000000"/>
        </patternFill>
      </fill>
    </dxf>
    <dxf>
      <fill>
        <patternFill patternType="solid">
          <fgColor rgb="FFFFFFFF"/>
          <bgColor rgb="FF000000"/>
        </patternFill>
      </fill>
    </dxf>
    <dxf>
      <fill>
        <patternFill patternType="solid">
          <fgColor rgb="FF78716C"/>
          <bgColor rgb="FF000000"/>
        </patternFill>
      </fill>
    </dxf>
    <dxf>
      <fill>
        <patternFill patternType="solid">
          <fgColor rgb="FFE07B14"/>
          <bgColor rgb="FF000000"/>
        </patternFill>
      </fill>
    </dxf>
    <dxf>
      <font>
        <name val="Arial"/>
        <charset val="1"/>
        <family val="0"/>
        <b val="1"/>
        <color rgb="FF0F766E"/>
        <sz val="10"/>
      </font>
      <fill>
        <patternFill>
          <bgColor rgb="FFD1FAE5"/>
        </patternFill>
      </fill>
    </dxf>
    <dxf>
      <font>
        <name val="Arial"/>
        <charset val="1"/>
        <family val="0"/>
        <b val="1"/>
        <color rgb="FFE07B14"/>
        <sz val="10"/>
      </font>
      <fill>
        <patternFill>
          <bgColor rgb="FFFEF3E2"/>
        </patternFill>
      </fill>
    </dxf>
    <dxf>
      <font>
        <name val="Arial"/>
        <charset val="1"/>
        <family val="0"/>
        <b val="1"/>
        <color rgb="FFA30D2C"/>
        <sz val="10"/>
      </font>
      <fill>
        <patternFill>
          <bgColor rgb="FFFDECEF"/>
        </patternFill>
      </fill>
    </dxf>
    <dxf>
      <font>
        <name val="Arial"/>
        <charset val="1"/>
        <family val="0"/>
        <b val="1"/>
        <color rgb="FF78716C"/>
        <sz val="10"/>
      </font>
      <fill>
        <patternFill>
          <bgColor rgb="FFF5F5F4"/>
        </patternFill>
      </fill>
    </dxf>
    <dxf>
      <font>
        <name val="Arial"/>
        <charset val="1"/>
        <family val="0"/>
        <color rgb="FF78716C"/>
        <sz val="10"/>
      </font>
      <fill>
        <patternFill>
          <bgColor rgb="FFFFFFFF"/>
        </patternFill>
      </fill>
    </dxf>
    <dxf>
      <font>
        <name val="Arial"/>
        <charset val="1"/>
        <family val="0"/>
        <b val="1"/>
        <color rgb="FFA30D2C"/>
        <sz val="10"/>
      </font>
    </dxf>
    <dxf>
      <font>
        <name val="Arial"/>
        <charset val="1"/>
        <family val="0"/>
        <b val="1"/>
        <color rgb="FFE07B14"/>
        <sz val="10"/>
      </font>
    </dxf>
    <dxf>
      <font>
        <name val="Arial"/>
        <charset val="1"/>
        <family val="0"/>
        <color rgb="FF78716C"/>
        <sz val="10"/>
      </font>
    </dxf>
  </dxfs>
  <colors>
    <indexedColors>
      <rgbColor rgb="FF000000"/>
      <rgbColor rgb="FFFFFFFF"/>
      <rgbColor rgb="FFDC143C"/>
      <rgbColor rgb="FF00FF00"/>
      <rgbColor rgb="FF0000FF"/>
      <rgbColor rgb="FFFFFF00"/>
      <rgbColor rgb="FFFF00FF"/>
      <rgbColor rgb="FF00FFFF"/>
      <rgbColor rgb="FFA30D2C"/>
      <rgbColor rgb="FF008000"/>
      <rgbColor rgb="FF000080"/>
      <rgbColor rgb="FF808000"/>
      <rgbColor rgb="FF800080"/>
      <rgbColor rgb="FF0F766E"/>
      <rgbColor rgb="FFDDD1BD"/>
      <rgbColor rgb="FF78716C"/>
      <rgbColor rgb="FF9999FF"/>
      <rgbColor rgb="FF993366"/>
      <rgbColor rgb="FFFEF3E2"/>
      <rgbColor rgb="FFF5F5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BF8F3"/>
      <rgbColor rgb="FFD1FAE5"/>
      <rgbColor rgb="FFFDECEF"/>
      <rgbColor rgb="FF99CCFF"/>
      <rgbColor rgb="FFFF99CC"/>
      <rgbColor rgb="FFCC99FF"/>
      <rgbColor rgb="FFFFCC99"/>
      <rgbColor rgb="FF3366FF"/>
      <rgbColor rgb="FF33CCCC"/>
      <rgbColor rgb="FF99CC00"/>
      <rgbColor rgb="FFFFCC00"/>
      <rgbColor rgb="FFFF9900"/>
      <rgbColor rgb="FFE07B14"/>
      <rgbColor rgb="FF666699"/>
      <rgbColor rgb="FFA8A29E"/>
      <rgbColor rgb="FF003893"/>
      <rgbColor rgb="FF339966"/>
      <rgbColor rgb="FF003300"/>
      <rgbColor rgb="FF1C1917"/>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3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4" min="3" style="0" width="14"/>
    <col collapsed="false" customWidth="true" hidden="false" outlineLevel="0" max="5" min="5" style="0" width="22"/>
    <col collapsed="false" customWidth="true" hidden="false" outlineLevel="0" max="6" min="6" style="0" width="14"/>
    <col collapsed="false" customWidth="true" hidden="false" outlineLevel="0" max="7" min="7" style="0" width="8"/>
  </cols>
  <sheetData>
    <row r="2" customFormat="false" ht="22.05" hidden="false" customHeight="false" outlineLevel="0" collapsed="false">
      <c r="B2" s="1" t="s">
        <v>0</v>
      </c>
      <c r="C2" s="1"/>
      <c r="D2" s="1"/>
      <c r="E2" s="1"/>
      <c r="F2" s="1"/>
      <c r="G2" s="1"/>
    </row>
    <row r="3" customFormat="false" ht="15" hidden="false" customHeight="false" outlineLevel="0" collapsed="false">
      <c r="B3" s="2" t="s">
        <v>1</v>
      </c>
      <c r="C3" s="2"/>
      <c r="D3" s="2"/>
      <c r="E3" s="2"/>
      <c r="F3" s="2"/>
      <c r="G3" s="2"/>
    </row>
    <row r="5" customFormat="false" ht="15" hidden="false" customHeight="false" outlineLevel="0" collapsed="false">
      <c r="B5" s="3" t="s">
        <v>2</v>
      </c>
      <c r="E5" s="3" t="s">
        <v>3</v>
      </c>
    </row>
    <row r="6" customFormat="false" ht="15" hidden="false" customHeight="false" outlineLevel="0" collapsed="false">
      <c r="B6" s="4" t="s">
        <v>4</v>
      </c>
      <c r="C6" s="5" t="n">
        <f aca="false">COUNTA(RTM!A4:A51)</f>
        <v>48</v>
      </c>
      <c r="E6" s="6" t="s">
        <v>5</v>
      </c>
      <c r="F6" s="7" t="n">
        <f aca="false">COUNTIF(RTM!L4:L51,"Not Started")</f>
        <v>48</v>
      </c>
    </row>
    <row r="7" customFormat="false" ht="15" hidden="false" customHeight="false" outlineLevel="0" collapsed="false">
      <c r="B7" s="4" t="s">
        <v>6</v>
      </c>
      <c r="C7" s="5" t="n">
        <f aca="false">COUNTIF(RTM!A4:A51,"FR-*")</f>
        <v>31</v>
      </c>
      <c r="E7" s="8" t="s">
        <v>7</v>
      </c>
      <c r="F7" s="9" t="n">
        <f aca="false">COUNTIF(RTM!L4:L51,"In Progress")</f>
        <v>0</v>
      </c>
    </row>
    <row r="8" customFormat="false" ht="15" hidden="false" customHeight="false" outlineLevel="0" collapsed="false">
      <c r="B8" s="4" t="s">
        <v>8</v>
      </c>
      <c r="C8" s="5" t="n">
        <f aca="false">COUNTIF(RTM!A4:A51,"NFR-*")</f>
        <v>17</v>
      </c>
      <c r="E8" s="10" t="s">
        <v>9</v>
      </c>
      <c r="F8" s="11" t="n">
        <f aca="false">COUNTIF(RTM!L4:L51,"Complete")</f>
        <v>0</v>
      </c>
    </row>
    <row r="9" customFormat="false" ht="15" hidden="false" customHeight="false" outlineLevel="0" collapsed="false">
      <c r="B9" s="4" t="s">
        <v>10</v>
      </c>
      <c r="C9" s="5" t="n">
        <f aca="false">COUNTIF(RTM!D4:D51,"High")</f>
        <v>30</v>
      </c>
      <c r="E9" s="12" t="s">
        <v>11</v>
      </c>
      <c r="F9" s="13" t="n">
        <f aca="false">COUNTIF(RTM!L4:L51,"Blocked")</f>
        <v>0</v>
      </c>
    </row>
    <row r="10" customFormat="false" ht="15" hidden="false" customHeight="false" outlineLevel="0" collapsed="false">
      <c r="B10" s="4" t="s">
        <v>12</v>
      </c>
      <c r="C10" s="5" t="n">
        <f aca="false">COUNTIF(RTM!D4:D51,"Medium")</f>
        <v>14</v>
      </c>
      <c r="E10" s="14" t="s">
        <v>13</v>
      </c>
      <c r="F10" s="15" t="n">
        <f aca="false">COUNTIF(RTM!L4:L51,"Deferred")</f>
        <v>0</v>
      </c>
    </row>
    <row r="11" customFormat="false" ht="15" hidden="false" customHeight="false" outlineLevel="0" collapsed="false">
      <c r="B11" s="4" t="s">
        <v>14</v>
      </c>
      <c r="C11" s="5" t="n">
        <f aca="false">COUNTIF(RTM!D4:D51,"Low")</f>
        <v>4</v>
      </c>
      <c r="E11" s="16" t="s">
        <v>15</v>
      </c>
      <c r="F11" s="17" t="n">
        <f aca="false">COUNTIF(RTM!L4:L51,"Complete")/COUNTA(RTM!A4:A51)</f>
        <v>0</v>
      </c>
    </row>
    <row r="14" customFormat="false" ht="15" hidden="false" customHeight="false" outlineLevel="0" collapsed="false">
      <c r="B14" s="3" t="s">
        <v>16</v>
      </c>
    </row>
    <row r="15" customFormat="false" ht="15" hidden="false" customHeight="false" outlineLevel="0" collapsed="false">
      <c r="B15" s="18" t="s">
        <v>17</v>
      </c>
      <c r="C15" s="18" t="s">
        <v>18</v>
      </c>
      <c r="D15" s="18" t="s">
        <v>9</v>
      </c>
      <c r="E15" s="18" t="s">
        <v>19</v>
      </c>
    </row>
    <row r="16" customFormat="false" ht="15" hidden="false" customHeight="false" outlineLevel="0" collapsed="false">
      <c r="B16" s="4" t="s">
        <v>20</v>
      </c>
      <c r="C16" s="4" t="n">
        <f aca="false">COUNTIF(RTM!H4:H51,"*Pratik*")</f>
        <v>34</v>
      </c>
      <c r="D16" s="4" t="n">
        <f aca="false">COUNTIFS(RTM!H4:H51,"*Pratik*",RTM!L4:L51,"Complete")</f>
        <v>0</v>
      </c>
      <c r="E16" s="17" t="n">
        <f aca="false">IFERROR(D16/C16,0)</f>
        <v>0</v>
      </c>
    </row>
    <row r="17" customFormat="false" ht="15" hidden="false" customHeight="false" outlineLevel="0" collapsed="false">
      <c r="B17" s="4" t="s">
        <v>21</v>
      </c>
      <c r="C17" s="4" t="n">
        <f aca="false">COUNTIF(RTM!H4:H51,"*Umang*")</f>
        <v>9</v>
      </c>
      <c r="D17" s="4" t="n">
        <f aca="false">COUNTIFS(RTM!H4:H51,"*Umang*",RTM!L4:L51,"Complete")</f>
        <v>0</v>
      </c>
      <c r="E17" s="17" t="n">
        <f aca="false">IFERROR(D17/C17,0)</f>
        <v>0</v>
      </c>
    </row>
    <row r="18" customFormat="false" ht="15" hidden="false" customHeight="false" outlineLevel="0" collapsed="false">
      <c r="B18" s="4" t="s">
        <v>22</v>
      </c>
      <c r="C18" s="4" t="n">
        <f aca="false">COUNTIF(RTM!H4:H51,"*Dol Bahadur*")</f>
        <v>8</v>
      </c>
      <c r="D18" s="4" t="n">
        <f aca="false">COUNTIFS(RTM!H4:H51,"*Dol Bahadur*",RTM!L4:L51,"Complete")</f>
        <v>0</v>
      </c>
      <c r="E18" s="17" t="n">
        <f aca="false">IFERROR(D18/C18,0)</f>
        <v>0</v>
      </c>
    </row>
    <row r="19" customFormat="false" ht="15" hidden="false" customHeight="false" outlineLevel="0" collapsed="false">
      <c r="B19" s="4" t="s">
        <v>23</v>
      </c>
      <c r="C19" s="4" t="n">
        <f aca="false">COUNTIF(RTM!H4:H51,"*Anjali*")</f>
        <v>7</v>
      </c>
      <c r="D19" s="4" t="n">
        <f aca="false">COUNTIFS(RTM!H4:H51,"*Anjali*",RTM!L4:L51,"Complete")</f>
        <v>0</v>
      </c>
      <c r="E19" s="17" t="n">
        <f aca="false">IFERROR(D19/C19,0)</f>
        <v>0</v>
      </c>
    </row>
    <row r="22" customFormat="false" ht="15" hidden="false" customHeight="false" outlineLevel="0" collapsed="false">
      <c r="B22" s="3" t="s">
        <v>24</v>
      </c>
    </row>
    <row r="23" customFormat="false" ht="15" hidden="false" customHeight="false" outlineLevel="0" collapsed="false">
      <c r="B23" s="18" t="s">
        <v>25</v>
      </c>
      <c r="C23" s="18" t="s">
        <v>18</v>
      </c>
      <c r="D23" s="18" t="s">
        <v>9</v>
      </c>
      <c r="E23" s="18" t="s">
        <v>19</v>
      </c>
    </row>
    <row r="24" customFormat="false" ht="15" hidden="false" customHeight="false" outlineLevel="0" collapsed="false">
      <c r="B24" s="4" t="s">
        <v>26</v>
      </c>
      <c r="C24" s="4" t="n">
        <f aca="false">COUNTIF(RTM!G4:G51,"*Phase 2*")</f>
        <v>3</v>
      </c>
      <c r="D24" s="4" t="n">
        <f aca="false">COUNTIFS(RTM!G4:G51,"*Phase 2*",RTM!L4:L51,"Complete")</f>
        <v>0</v>
      </c>
      <c r="E24" s="17" t="n">
        <f aca="false">IFERROR(D24/C24,0)</f>
        <v>0</v>
      </c>
    </row>
    <row r="25" customFormat="false" ht="15" hidden="false" customHeight="false" outlineLevel="0" collapsed="false">
      <c r="B25" s="4" t="s">
        <v>27</v>
      </c>
      <c r="C25" s="4" t="n">
        <f aca="false">COUNTIF(RTM!G4:G51,"*Phase 3*")</f>
        <v>1</v>
      </c>
      <c r="D25" s="4" t="n">
        <f aca="false">COUNTIFS(RTM!G4:G51,"*Phase 3*",RTM!L4:L51,"Complete")</f>
        <v>0</v>
      </c>
      <c r="E25" s="17" t="n">
        <f aca="false">IFERROR(D25/C25,0)</f>
        <v>0</v>
      </c>
    </row>
    <row r="26" customFormat="false" ht="15" hidden="false" customHeight="false" outlineLevel="0" collapsed="false">
      <c r="B26" s="4" t="s">
        <v>28</v>
      </c>
      <c r="C26" s="4" t="n">
        <f aca="false">COUNTIF(RTM!G4:G51,"*Phase 4*")</f>
        <v>7</v>
      </c>
      <c r="D26" s="4" t="n">
        <f aca="false">COUNTIFS(RTM!G4:G51,"*Phase 4*",RTM!L4:L51,"Complete")</f>
        <v>0</v>
      </c>
      <c r="E26" s="17" t="n">
        <f aca="false">IFERROR(D26/C26,0)</f>
        <v>0</v>
      </c>
    </row>
    <row r="27" customFormat="false" ht="15" hidden="false" customHeight="false" outlineLevel="0" collapsed="false">
      <c r="B27" s="4" t="s">
        <v>29</v>
      </c>
      <c r="C27" s="4" t="n">
        <f aca="false">COUNTIF(RTM!G4:G51,"*Phase 7*")</f>
        <v>5</v>
      </c>
      <c r="D27" s="4" t="n">
        <f aca="false">COUNTIFS(RTM!G4:G51,"*Phase 7*",RTM!L4:L51,"Complete")</f>
        <v>0</v>
      </c>
      <c r="E27" s="17" t="n">
        <f aca="false">IFERROR(D27/C27,0)</f>
        <v>0</v>
      </c>
    </row>
    <row r="28" customFormat="false" ht="15" hidden="false" customHeight="false" outlineLevel="0" collapsed="false">
      <c r="B28" s="4" t="s">
        <v>30</v>
      </c>
      <c r="C28" s="4" t="n">
        <f aca="false">COUNTIF(RTM!G4:G51,"*Phase 9*")</f>
        <v>4</v>
      </c>
      <c r="D28" s="4" t="n">
        <f aca="false">COUNTIFS(RTM!G4:G51,"*Phase 9*",RTM!L4:L51,"Complete")</f>
        <v>0</v>
      </c>
      <c r="E28" s="17" t="n">
        <f aca="false">IFERROR(D28/C28,0)</f>
        <v>0</v>
      </c>
    </row>
    <row r="29" customFormat="false" ht="15" hidden="false" customHeight="false" outlineLevel="0" collapsed="false">
      <c r="B29" s="4" t="s">
        <v>31</v>
      </c>
      <c r="C29" s="4" t="n">
        <f aca="false">COUNTIF(RTM!G4:G51,"*Phase 10*")</f>
        <v>6</v>
      </c>
      <c r="D29" s="4" t="n">
        <f aca="false">COUNTIFS(RTM!G4:G51,"*Phase 10*",RTM!L4:L51,"Complete")</f>
        <v>0</v>
      </c>
      <c r="E29" s="17" t="n">
        <f aca="false">IFERROR(D29/C29,0)</f>
        <v>0</v>
      </c>
    </row>
    <row r="30" customFormat="false" ht="15" hidden="false" customHeight="false" outlineLevel="0" collapsed="false">
      <c r="B30" s="4" t="s">
        <v>32</v>
      </c>
      <c r="C30" s="4" t="n">
        <f aca="false">COUNTIF(RTM!G4:G51,"*Phase 11*")</f>
        <v>8</v>
      </c>
      <c r="D30" s="4" t="n">
        <f aca="false">COUNTIFS(RTM!G4:G51,"*Phase 11*",RTM!L4:L51,"Complete")</f>
        <v>0</v>
      </c>
      <c r="E30" s="17" t="n">
        <f aca="false">IFERROR(D30/C30,0)</f>
        <v>0</v>
      </c>
    </row>
    <row r="31" customFormat="false" ht="15" hidden="false" customHeight="false" outlineLevel="0" collapsed="false">
      <c r="B31" s="4" t="s">
        <v>33</v>
      </c>
      <c r="C31" s="4" t="n">
        <f aca="false">COUNTIF(RTM!G4:G51,"*Phase 12*")</f>
        <v>1</v>
      </c>
      <c r="D31" s="4" t="n">
        <f aca="false">COUNTIFS(RTM!G4:G51,"*Phase 12*",RTM!L4:L51,"Complete")</f>
        <v>0</v>
      </c>
      <c r="E31" s="17" t="n">
        <f aca="false">IFERROR(D31/C31,0)</f>
        <v>0</v>
      </c>
    </row>
    <row r="32" customFormat="false" ht="15" hidden="false" customHeight="false" outlineLevel="0" collapsed="false">
      <c r="B32" s="4" t="s">
        <v>34</v>
      </c>
      <c r="C32" s="4" t="n">
        <f aca="false">COUNTIF(RTM!G4:G51,"*Phase 13*")</f>
        <v>3</v>
      </c>
      <c r="D32" s="4" t="n">
        <f aca="false">COUNTIFS(RTM!G4:G51,"*Phase 13*",RTM!L4:L51,"Complete")</f>
        <v>0</v>
      </c>
      <c r="E32" s="17" t="n">
        <f aca="false">IFERROR(D32/C32,0)</f>
        <v>0</v>
      </c>
    </row>
    <row r="33" customFormat="false" ht="15" hidden="false" customHeight="false" outlineLevel="0" collapsed="false">
      <c r="B33" s="4" t="s">
        <v>35</v>
      </c>
      <c r="C33" s="4" t="n">
        <f aca="false">COUNTIF(RTM!G4:G51,"*Phase 14*")</f>
        <v>1</v>
      </c>
      <c r="D33" s="4" t="n">
        <f aca="false">COUNTIFS(RTM!G4:G51,"*Phase 14*",RTM!L4:L51,"Complete")</f>
        <v>0</v>
      </c>
      <c r="E33" s="17" t="n">
        <f aca="false">IFERROR(D33/C33,0)</f>
        <v>0</v>
      </c>
    </row>
    <row r="34" customFormat="false" ht="15" hidden="false" customHeight="false" outlineLevel="0" collapsed="false">
      <c r="B34" s="4" t="s">
        <v>36</v>
      </c>
      <c r="C34" s="4" t="n">
        <f aca="false">COUNTIF(RTM!G4:G51,"*Phase 15*")</f>
        <v>5</v>
      </c>
      <c r="D34" s="4" t="n">
        <f aca="false">COUNTIFS(RTM!G4:G51,"*Phase 15*",RTM!L4:L51,"Complete")</f>
        <v>0</v>
      </c>
      <c r="E34" s="17" t="n">
        <f aca="false">IFERROR(D34/C34,0)</f>
        <v>0</v>
      </c>
    </row>
    <row r="35" customFormat="false" ht="15" hidden="false" customHeight="false" outlineLevel="0" collapsed="false">
      <c r="B35" s="4" t="s">
        <v>37</v>
      </c>
      <c r="C35" s="4" t="n">
        <f aca="false">COUNTIF(RTM!G4:G51,"*Phase 16*")</f>
        <v>1</v>
      </c>
      <c r="D35" s="4" t="n">
        <f aca="false">COUNTIFS(RTM!G4:G51,"*Phase 16*",RTM!L4:L51,"Complete")</f>
        <v>0</v>
      </c>
      <c r="E35" s="17" t="n">
        <f aca="false">IFERROR(D35/C35,0)</f>
        <v>0</v>
      </c>
    </row>
  </sheetData>
  <mergeCells count="2">
    <mergeCell ref="B2:G2"/>
    <mergeCell ref="B3:G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8"/>
    <col collapsed="false" customWidth="true" hidden="false" outlineLevel="0" max="3" min="3" style="0" width="55"/>
    <col collapsed="false" customWidth="true" hidden="false" outlineLevel="0" max="4" min="4" style="0" width="10"/>
    <col collapsed="false" customWidth="true" hidden="false" outlineLevel="0" max="5" min="5" style="0" width="8"/>
    <col collapsed="false" customWidth="true" hidden="false" outlineLevel="0" max="6" min="6" style="0" width="22"/>
    <col collapsed="false" customWidth="true" hidden="false" outlineLevel="0" max="7" min="7" style="0" width="14"/>
    <col collapsed="false" customWidth="true" hidden="false" outlineLevel="0" max="8" min="8" style="0" width="16"/>
    <col collapsed="false" customWidth="true" hidden="false" outlineLevel="0" max="10" min="9" style="0" width="38"/>
    <col collapsed="false" customWidth="true" hidden="false" outlineLevel="0" max="13" min="11" style="0" width="14"/>
    <col collapsed="false" customWidth="true" hidden="false" outlineLevel="0" max="14" min="14" style="0" width="30"/>
  </cols>
  <sheetData>
    <row r="1" customFormat="false" ht="19.7" hidden="false" customHeight="false" outlineLevel="0" collapsed="false">
      <c r="A1" s="19" t="s">
        <v>0</v>
      </c>
      <c r="B1" s="19"/>
      <c r="C1" s="19"/>
      <c r="D1" s="19"/>
      <c r="E1" s="19"/>
      <c r="F1" s="19"/>
      <c r="G1" s="19"/>
      <c r="H1" s="19"/>
      <c r="I1" s="19"/>
      <c r="J1" s="19"/>
      <c r="K1" s="19"/>
      <c r="L1" s="19"/>
      <c r="M1" s="19"/>
      <c r="N1" s="19"/>
    </row>
    <row r="2" customFormat="false" ht="15" hidden="false" customHeight="false" outlineLevel="0" collapsed="false">
      <c r="A2" s="20" t="s">
        <v>38</v>
      </c>
      <c r="B2" s="20"/>
      <c r="C2" s="20"/>
      <c r="D2" s="20"/>
      <c r="E2" s="20"/>
      <c r="F2" s="20"/>
      <c r="G2" s="20"/>
      <c r="H2" s="20"/>
      <c r="I2" s="20"/>
      <c r="J2" s="20"/>
      <c r="K2" s="20"/>
      <c r="L2" s="20"/>
      <c r="M2" s="20"/>
      <c r="N2" s="20"/>
    </row>
    <row r="3" customFormat="false" ht="36" hidden="false" customHeight="true" outlineLevel="0" collapsed="false">
      <c r="A3" s="21" t="s">
        <v>39</v>
      </c>
      <c r="B3" s="21" t="s">
        <v>40</v>
      </c>
      <c r="C3" s="21" t="s">
        <v>41</v>
      </c>
      <c r="D3" s="21" t="s">
        <v>42</v>
      </c>
      <c r="E3" s="21" t="s">
        <v>43</v>
      </c>
      <c r="F3" s="21" t="s">
        <v>44</v>
      </c>
      <c r="G3" s="21" t="s">
        <v>45</v>
      </c>
      <c r="H3" s="21" t="s">
        <v>17</v>
      </c>
      <c r="I3" s="21" t="s">
        <v>46</v>
      </c>
      <c r="J3" s="21" t="s">
        <v>47</v>
      </c>
      <c r="K3" s="21" t="s">
        <v>48</v>
      </c>
      <c r="L3" s="21" t="s">
        <v>49</v>
      </c>
      <c r="M3" s="21" t="s">
        <v>50</v>
      </c>
      <c r="N3" s="21" t="s">
        <v>51</v>
      </c>
    </row>
    <row r="4" customFormat="false" ht="48" hidden="false" customHeight="true" outlineLevel="0" collapsed="false">
      <c r="A4" s="22" t="s">
        <v>52</v>
      </c>
      <c r="B4" s="23" t="s">
        <v>53</v>
      </c>
      <c r="C4" s="23" t="s">
        <v>54</v>
      </c>
      <c r="D4" s="24" t="s">
        <v>55</v>
      </c>
      <c r="E4" s="23" t="s">
        <v>56</v>
      </c>
      <c r="F4" s="23" t="s">
        <v>57</v>
      </c>
      <c r="G4" s="24" t="s">
        <v>28</v>
      </c>
      <c r="H4" s="23" t="s">
        <v>20</v>
      </c>
      <c r="I4" s="23" t="s">
        <v>58</v>
      </c>
      <c r="J4" s="23" t="s">
        <v>59</v>
      </c>
      <c r="K4" s="23"/>
      <c r="L4" s="24" t="s">
        <v>5</v>
      </c>
      <c r="M4" s="23"/>
      <c r="N4" s="23"/>
    </row>
    <row r="5" customFormat="false" ht="48" hidden="false" customHeight="true" outlineLevel="0" collapsed="false">
      <c r="A5" s="25" t="s">
        <v>60</v>
      </c>
      <c r="B5" s="26" t="s">
        <v>53</v>
      </c>
      <c r="C5" s="26" t="s">
        <v>61</v>
      </c>
      <c r="D5" s="27" t="s">
        <v>55</v>
      </c>
      <c r="E5" s="26" t="s">
        <v>56</v>
      </c>
      <c r="F5" s="26" t="s">
        <v>57</v>
      </c>
      <c r="G5" s="27" t="s">
        <v>28</v>
      </c>
      <c r="H5" s="26" t="s">
        <v>20</v>
      </c>
      <c r="I5" s="26" t="s">
        <v>62</v>
      </c>
      <c r="J5" s="26" t="s">
        <v>63</v>
      </c>
      <c r="K5" s="26"/>
      <c r="L5" s="27" t="s">
        <v>5</v>
      </c>
      <c r="M5" s="26"/>
      <c r="N5" s="26"/>
    </row>
    <row r="6" customFormat="false" ht="48" hidden="false" customHeight="true" outlineLevel="0" collapsed="false">
      <c r="A6" s="22" t="s">
        <v>64</v>
      </c>
      <c r="B6" s="23" t="s">
        <v>53</v>
      </c>
      <c r="C6" s="23" t="s">
        <v>65</v>
      </c>
      <c r="D6" s="24" t="s">
        <v>55</v>
      </c>
      <c r="E6" s="23" t="s">
        <v>56</v>
      </c>
      <c r="F6" s="23" t="s">
        <v>66</v>
      </c>
      <c r="G6" s="24" t="s">
        <v>28</v>
      </c>
      <c r="H6" s="23" t="s">
        <v>20</v>
      </c>
      <c r="I6" s="23" t="s">
        <v>67</v>
      </c>
      <c r="J6" s="23" t="s">
        <v>68</v>
      </c>
      <c r="K6" s="23"/>
      <c r="L6" s="24" t="s">
        <v>5</v>
      </c>
      <c r="M6" s="23"/>
      <c r="N6" s="23"/>
    </row>
    <row r="7" customFormat="false" ht="48" hidden="false" customHeight="true" outlineLevel="0" collapsed="false">
      <c r="A7" s="25" t="s">
        <v>69</v>
      </c>
      <c r="B7" s="26" t="s">
        <v>53</v>
      </c>
      <c r="C7" s="26" t="s">
        <v>70</v>
      </c>
      <c r="D7" s="27" t="s">
        <v>55</v>
      </c>
      <c r="E7" s="26" t="s">
        <v>56</v>
      </c>
      <c r="F7" s="26" t="s">
        <v>71</v>
      </c>
      <c r="G7" s="27" t="s">
        <v>28</v>
      </c>
      <c r="H7" s="26" t="s">
        <v>20</v>
      </c>
      <c r="I7" s="26" t="s">
        <v>72</v>
      </c>
      <c r="J7" s="26" t="s">
        <v>73</v>
      </c>
      <c r="K7" s="26"/>
      <c r="L7" s="27" t="s">
        <v>5</v>
      </c>
      <c r="M7" s="26"/>
      <c r="N7" s="26"/>
    </row>
    <row r="8" customFormat="false" ht="48" hidden="false" customHeight="true" outlineLevel="0" collapsed="false">
      <c r="A8" s="22" t="s">
        <v>74</v>
      </c>
      <c r="B8" s="23" t="s">
        <v>53</v>
      </c>
      <c r="C8" s="23" t="s">
        <v>75</v>
      </c>
      <c r="D8" s="24" t="s">
        <v>76</v>
      </c>
      <c r="E8" s="23" t="s">
        <v>56</v>
      </c>
      <c r="F8" s="23" t="s">
        <v>77</v>
      </c>
      <c r="G8" s="24" t="s">
        <v>28</v>
      </c>
      <c r="H8" s="23" t="s">
        <v>20</v>
      </c>
      <c r="I8" s="23" t="s">
        <v>78</v>
      </c>
      <c r="J8" s="23" t="s">
        <v>79</v>
      </c>
      <c r="K8" s="23"/>
      <c r="L8" s="24" t="s">
        <v>5</v>
      </c>
      <c r="M8" s="23"/>
      <c r="N8" s="23"/>
    </row>
    <row r="9" customFormat="false" ht="48" hidden="false" customHeight="true" outlineLevel="0" collapsed="false">
      <c r="A9" s="25" t="s">
        <v>80</v>
      </c>
      <c r="B9" s="26" t="s">
        <v>53</v>
      </c>
      <c r="C9" s="26" t="s">
        <v>81</v>
      </c>
      <c r="D9" s="27" t="s">
        <v>76</v>
      </c>
      <c r="E9" s="26" t="s">
        <v>56</v>
      </c>
      <c r="F9" s="26" t="s">
        <v>82</v>
      </c>
      <c r="G9" s="27" t="s">
        <v>32</v>
      </c>
      <c r="H9" s="26" t="s">
        <v>20</v>
      </c>
      <c r="I9" s="26" t="s">
        <v>83</v>
      </c>
      <c r="J9" s="26" t="s">
        <v>84</v>
      </c>
      <c r="K9" s="26"/>
      <c r="L9" s="27" t="s">
        <v>5</v>
      </c>
      <c r="M9" s="26"/>
      <c r="N9" s="26"/>
    </row>
    <row r="10" customFormat="false" ht="48" hidden="false" customHeight="true" outlineLevel="0" collapsed="false">
      <c r="A10" s="22" t="s">
        <v>85</v>
      </c>
      <c r="B10" s="23" t="s">
        <v>86</v>
      </c>
      <c r="C10" s="23" t="s">
        <v>87</v>
      </c>
      <c r="D10" s="24" t="s">
        <v>55</v>
      </c>
      <c r="E10" s="23" t="s">
        <v>88</v>
      </c>
      <c r="F10" s="23" t="s">
        <v>89</v>
      </c>
      <c r="G10" s="24" t="s">
        <v>29</v>
      </c>
      <c r="H10" s="23" t="s">
        <v>90</v>
      </c>
      <c r="I10" s="23" t="s">
        <v>91</v>
      </c>
      <c r="J10" s="23" t="s">
        <v>92</v>
      </c>
      <c r="K10" s="23"/>
      <c r="L10" s="24" t="s">
        <v>5</v>
      </c>
      <c r="M10" s="23"/>
      <c r="N10" s="23"/>
    </row>
    <row r="11" customFormat="false" ht="48" hidden="false" customHeight="true" outlineLevel="0" collapsed="false">
      <c r="A11" s="25" t="s">
        <v>93</v>
      </c>
      <c r="B11" s="26" t="s">
        <v>86</v>
      </c>
      <c r="C11" s="26" t="s">
        <v>94</v>
      </c>
      <c r="D11" s="27" t="s">
        <v>55</v>
      </c>
      <c r="E11" s="26" t="s">
        <v>88</v>
      </c>
      <c r="F11" s="26" t="s">
        <v>95</v>
      </c>
      <c r="G11" s="27" t="s">
        <v>29</v>
      </c>
      <c r="H11" s="26" t="s">
        <v>21</v>
      </c>
      <c r="I11" s="26" t="s">
        <v>68</v>
      </c>
      <c r="J11" s="26" t="s">
        <v>96</v>
      </c>
      <c r="K11" s="26"/>
      <c r="L11" s="27" t="s">
        <v>5</v>
      </c>
      <c r="M11" s="26"/>
      <c r="N11" s="26"/>
    </row>
    <row r="12" customFormat="false" ht="48" hidden="false" customHeight="true" outlineLevel="0" collapsed="false">
      <c r="A12" s="22" t="s">
        <v>97</v>
      </c>
      <c r="B12" s="23" t="s">
        <v>86</v>
      </c>
      <c r="C12" s="23" t="s">
        <v>98</v>
      </c>
      <c r="D12" s="24" t="s">
        <v>55</v>
      </c>
      <c r="E12" s="23" t="s">
        <v>88</v>
      </c>
      <c r="F12" s="23" t="s">
        <v>99</v>
      </c>
      <c r="G12" s="24" t="s">
        <v>100</v>
      </c>
      <c r="H12" s="23" t="s">
        <v>101</v>
      </c>
      <c r="I12" s="23" t="s">
        <v>102</v>
      </c>
      <c r="J12" s="23" t="s">
        <v>103</v>
      </c>
      <c r="K12" s="23"/>
      <c r="L12" s="24" t="s">
        <v>5</v>
      </c>
      <c r="M12" s="23"/>
      <c r="N12" s="23"/>
    </row>
    <row r="13" customFormat="false" ht="48" hidden="false" customHeight="true" outlineLevel="0" collapsed="false">
      <c r="A13" s="25" t="s">
        <v>104</v>
      </c>
      <c r="B13" s="26" t="s">
        <v>86</v>
      </c>
      <c r="C13" s="26" t="s">
        <v>105</v>
      </c>
      <c r="D13" s="27" t="s">
        <v>76</v>
      </c>
      <c r="E13" s="26" t="s">
        <v>88</v>
      </c>
      <c r="F13" s="26" t="s">
        <v>106</v>
      </c>
      <c r="G13" s="27" t="s">
        <v>29</v>
      </c>
      <c r="H13" s="26" t="s">
        <v>20</v>
      </c>
      <c r="I13" s="26" t="s">
        <v>107</v>
      </c>
      <c r="J13" s="26" t="s">
        <v>108</v>
      </c>
      <c r="K13" s="26"/>
      <c r="L13" s="27" t="s">
        <v>5</v>
      </c>
      <c r="M13" s="26"/>
      <c r="N13" s="26"/>
    </row>
    <row r="14" customFormat="false" ht="48" hidden="false" customHeight="true" outlineLevel="0" collapsed="false">
      <c r="A14" s="22" t="s">
        <v>109</v>
      </c>
      <c r="B14" s="23" t="s">
        <v>86</v>
      </c>
      <c r="C14" s="23" t="s">
        <v>110</v>
      </c>
      <c r="D14" s="24" t="s">
        <v>55</v>
      </c>
      <c r="E14" s="23" t="s">
        <v>88</v>
      </c>
      <c r="F14" s="23" t="s">
        <v>111</v>
      </c>
      <c r="G14" s="24" t="s">
        <v>100</v>
      </c>
      <c r="H14" s="23" t="s">
        <v>112</v>
      </c>
      <c r="I14" s="23" t="s">
        <v>113</v>
      </c>
      <c r="J14" s="23" t="s">
        <v>68</v>
      </c>
      <c r="K14" s="23"/>
      <c r="L14" s="24" t="s">
        <v>5</v>
      </c>
      <c r="M14" s="23"/>
      <c r="N14" s="23"/>
    </row>
    <row r="15" customFormat="false" ht="48" hidden="false" customHeight="true" outlineLevel="0" collapsed="false">
      <c r="A15" s="25" t="s">
        <v>114</v>
      </c>
      <c r="B15" s="26" t="s">
        <v>86</v>
      </c>
      <c r="C15" s="26" t="s">
        <v>115</v>
      </c>
      <c r="D15" s="27" t="s">
        <v>116</v>
      </c>
      <c r="E15" s="26" t="s">
        <v>88</v>
      </c>
      <c r="F15" s="26" t="s">
        <v>68</v>
      </c>
      <c r="G15" s="27" t="s">
        <v>117</v>
      </c>
      <c r="H15" s="26" t="s">
        <v>21</v>
      </c>
      <c r="I15" s="26" t="s">
        <v>68</v>
      </c>
      <c r="J15" s="26" t="s">
        <v>118</v>
      </c>
      <c r="K15" s="26"/>
      <c r="L15" s="27" t="s">
        <v>5</v>
      </c>
      <c r="M15" s="26"/>
      <c r="N15" s="26"/>
    </row>
    <row r="16" customFormat="false" ht="48" hidden="false" customHeight="true" outlineLevel="0" collapsed="false">
      <c r="A16" s="22" t="s">
        <v>119</v>
      </c>
      <c r="B16" s="23" t="s">
        <v>86</v>
      </c>
      <c r="C16" s="23" t="s">
        <v>120</v>
      </c>
      <c r="D16" s="24" t="s">
        <v>76</v>
      </c>
      <c r="E16" s="23" t="s">
        <v>88</v>
      </c>
      <c r="F16" s="23" t="s">
        <v>121</v>
      </c>
      <c r="G16" s="24" t="s">
        <v>29</v>
      </c>
      <c r="H16" s="23" t="s">
        <v>20</v>
      </c>
      <c r="I16" s="23" t="s">
        <v>122</v>
      </c>
      <c r="J16" s="23" t="s">
        <v>123</v>
      </c>
      <c r="K16" s="23"/>
      <c r="L16" s="24" t="s">
        <v>5</v>
      </c>
      <c r="M16" s="23"/>
      <c r="N16" s="23"/>
    </row>
    <row r="17" customFormat="false" ht="48" hidden="false" customHeight="true" outlineLevel="0" collapsed="false">
      <c r="A17" s="25" t="s">
        <v>124</v>
      </c>
      <c r="B17" s="26" t="s">
        <v>125</v>
      </c>
      <c r="C17" s="26" t="s">
        <v>126</v>
      </c>
      <c r="D17" s="27" t="s">
        <v>55</v>
      </c>
      <c r="E17" s="26" t="s">
        <v>127</v>
      </c>
      <c r="F17" s="26" t="s">
        <v>128</v>
      </c>
      <c r="G17" s="27" t="s">
        <v>30</v>
      </c>
      <c r="H17" s="26" t="s">
        <v>90</v>
      </c>
      <c r="I17" s="26" t="s">
        <v>129</v>
      </c>
      <c r="J17" s="26" t="s">
        <v>130</v>
      </c>
      <c r="K17" s="26"/>
      <c r="L17" s="27" t="s">
        <v>5</v>
      </c>
      <c r="M17" s="26"/>
      <c r="N17" s="26"/>
    </row>
    <row r="18" customFormat="false" ht="48" hidden="false" customHeight="true" outlineLevel="0" collapsed="false">
      <c r="A18" s="22" t="s">
        <v>131</v>
      </c>
      <c r="B18" s="23" t="s">
        <v>125</v>
      </c>
      <c r="C18" s="23" t="s">
        <v>132</v>
      </c>
      <c r="D18" s="24" t="s">
        <v>76</v>
      </c>
      <c r="E18" s="23" t="s">
        <v>127</v>
      </c>
      <c r="F18" s="23" t="s">
        <v>133</v>
      </c>
      <c r="G18" s="24" t="s">
        <v>30</v>
      </c>
      <c r="H18" s="23" t="s">
        <v>90</v>
      </c>
      <c r="I18" s="23" t="s">
        <v>134</v>
      </c>
      <c r="J18" s="23" t="s">
        <v>135</v>
      </c>
      <c r="K18" s="23"/>
      <c r="L18" s="24" t="s">
        <v>5</v>
      </c>
      <c r="M18" s="23"/>
      <c r="N18" s="23"/>
    </row>
    <row r="19" customFormat="false" ht="48" hidden="false" customHeight="true" outlineLevel="0" collapsed="false">
      <c r="A19" s="25" t="s">
        <v>136</v>
      </c>
      <c r="B19" s="26" t="s">
        <v>125</v>
      </c>
      <c r="C19" s="26" t="s">
        <v>137</v>
      </c>
      <c r="D19" s="27" t="s">
        <v>76</v>
      </c>
      <c r="E19" s="26" t="s">
        <v>127</v>
      </c>
      <c r="F19" s="26" t="s">
        <v>138</v>
      </c>
      <c r="G19" s="27" t="s">
        <v>30</v>
      </c>
      <c r="H19" s="26" t="s">
        <v>90</v>
      </c>
      <c r="I19" s="26" t="s">
        <v>139</v>
      </c>
      <c r="J19" s="26" t="s">
        <v>140</v>
      </c>
      <c r="K19" s="26"/>
      <c r="L19" s="27" t="s">
        <v>5</v>
      </c>
      <c r="M19" s="26"/>
      <c r="N19" s="26"/>
    </row>
    <row r="20" customFormat="false" ht="48" hidden="false" customHeight="true" outlineLevel="0" collapsed="false">
      <c r="A20" s="22" t="s">
        <v>141</v>
      </c>
      <c r="B20" s="23" t="s">
        <v>125</v>
      </c>
      <c r="C20" s="23" t="s">
        <v>142</v>
      </c>
      <c r="D20" s="24" t="s">
        <v>116</v>
      </c>
      <c r="E20" s="23" t="s">
        <v>127</v>
      </c>
      <c r="F20" s="23" t="s">
        <v>143</v>
      </c>
      <c r="G20" s="24" t="s">
        <v>30</v>
      </c>
      <c r="H20" s="23" t="s">
        <v>90</v>
      </c>
      <c r="I20" s="23" t="s">
        <v>144</v>
      </c>
      <c r="J20" s="23" t="s">
        <v>145</v>
      </c>
      <c r="K20" s="23"/>
      <c r="L20" s="24" t="s">
        <v>5</v>
      </c>
      <c r="M20" s="23"/>
      <c r="N20" s="23"/>
    </row>
    <row r="21" customFormat="false" ht="48" hidden="false" customHeight="true" outlineLevel="0" collapsed="false">
      <c r="A21" s="25" t="s">
        <v>146</v>
      </c>
      <c r="B21" s="26" t="s">
        <v>125</v>
      </c>
      <c r="C21" s="26" t="s">
        <v>147</v>
      </c>
      <c r="D21" s="27" t="s">
        <v>55</v>
      </c>
      <c r="E21" s="26" t="s">
        <v>127</v>
      </c>
      <c r="F21" s="26" t="s">
        <v>148</v>
      </c>
      <c r="G21" s="27" t="s">
        <v>32</v>
      </c>
      <c r="H21" s="26" t="s">
        <v>20</v>
      </c>
      <c r="I21" s="26" t="s">
        <v>149</v>
      </c>
      <c r="J21" s="26" t="s">
        <v>150</v>
      </c>
      <c r="K21" s="26"/>
      <c r="L21" s="27" t="s">
        <v>5</v>
      </c>
      <c r="M21" s="26"/>
      <c r="N21" s="26"/>
    </row>
    <row r="22" customFormat="false" ht="48" hidden="false" customHeight="true" outlineLevel="0" collapsed="false">
      <c r="A22" s="22" t="s">
        <v>151</v>
      </c>
      <c r="B22" s="23" t="s">
        <v>152</v>
      </c>
      <c r="C22" s="23" t="s">
        <v>153</v>
      </c>
      <c r="D22" s="24" t="s">
        <v>55</v>
      </c>
      <c r="E22" s="23" t="s">
        <v>154</v>
      </c>
      <c r="F22" s="23" t="s">
        <v>155</v>
      </c>
      <c r="G22" s="24" t="s">
        <v>156</v>
      </c>
      <c r="H22" s="23" t="s">
        <v>112</v>
      </c>
      <c r="I22" s="23" t="s">
        <v>157</v>
      </c>
      <c r="J22" s="23" t="s">
        <v>158</v>
      </c>
      <c r="K22" s="23"/>
      <c r="L22" s="24" t="s">
        <v>5</v>
      </c>
      <c r="M22" s="23"/>
      <c r="N22" s="23"/>
    </row>
    <row r="23" customFormat="false" ht="48" hidden="false" customHeight="true" outlineLevel="0" collapsed="false">
      <c r="A23" s="25" t="s">
        <v>159</v>
      </c>
      <c r="B23" s="26" t="s">
        <v>152</v>
      </c>
      <c r="C23" s="26" t="s">
        <v>160</v>
      </c>
      <c r="D23" s="27" t="s">
        <v>55</v>
      </c>
      <c r="E23" s="26" t="s">
        <v>154</v>
      </c>
      <c r="F23" s="26" t="s">
        <v>161</v>
      </c>
      <c r="G23" s="27" t="s">
        <v>32</v>
      </c>
      <c r="H23" s="26" t="s">
        <v>20</v>
      </c>
      <c r="I23" s="26" t="s">
        <v>162</v>
      </c>
      <c r="J23" s="26" t="s">
        <v>163</v>
      </c>
      <c r="K23" s="26"/>
      <c r="L23" s="27" t="s">
        <v>5</v>
      </c>
      <c r="M23" s="26"/>
      <c r="N23" s="26"/>
    </row>
    <row r="24" customFormat="false" ht="48" hidden="false" customHeight="true" outlineLevel="0" collapsed="false">
      <c r="A24" s="22" t="s">
        <v>164</v>
      </c>
      <c r="B24" s="23" t="s">
        <v>152</v>
      </c>
      <c r="C24" s="23" t="s">
        <v>165</v>
      </c>
      <c r="D24" s="24" t="s">
        <v>76</v>
      </c>
      <c r="E24" s="23" t="s">
        <v>154</v>
      </c>
      <c r="F24" s="23" t="s">
        <v>166</v>
      </c>
      <c r="G24" s="24" t="s">
        <v>32</v>
      </c>
      <c r="H24" s="23" t="s">
        <v>20</v>
      </c>
      <c r="I24" s="23" t="s">
        <v>167</v>
      </c>
      <c r="J24" s="23" t="s">
        <v>168</v>
      </c>
      <c r="K24" s="23"/>
      <c r="L24" s="24" t="s">
        <v>5</v>
      </c>
      <c r="M24" s="23"/>
      <c r="N24" s="23"/>
    </row>
    <row r="25" customFormat="false" ht="48" hidden="false" customHeight="true" outlineLevel="0" collapsed="false">
      <c r="A25" s="25" t="s">
        <v>169</v>
      </c>
      <c r="B25" s="26" t="s">
        <v>152</v>
      </c>
      <c r="C25" s="26" t="s">
        <v>170</v>
      </c>
      <c r="D25" s="27" t="s">
        <v>55</v>
      </c>
      <c r="E25" s="26" t="s">
        <v>154</v>
      </c>
      <c r="F25" s="26" t="s">
        <v>171</v>
      </c>
      <c r="G25" s="27" t="s">
        <v>33</v>
      </c>
      <c r="H25" s="26" t="s">
        <v>23</v>
      </c>
      <c r="I25" s="26" t="s">
        <v>172</v>
      </c>
      <c r="J25" s="26" t="s">
        <v>173</v>
      </c>
      <c r="K25" s="26"/>
      <c r="L25" s="27" t="s">
        <v>5</v>
      </c>
      <c r="M25" s="26"/>
      <c r="N25" s="26"/>
    </row>
    <row r="26" customFormat="false" ht="48" hidden="false" customHeight="true" outlineLevel="0" collapsed="false">
      <c r="A26" s="22" t="s">
        <v>174</v>
      </c>
      <c r="B26" s="23" t="s">
        <v>152</v>
      </c>
      <c r="C26" s="23" t="s">
        <v>175</v>
      </c>
      <c r="D26" s="24" t="s">
        <v>116</v>
      </c>
      <c r="E26" s="23" t="s">
        <v>154</v>
      </c>
      <c r="F26" s="23" t="s">
        <v>176</v>
      </c>
      <c r="G26" s="24" t="s">
        <v>177</v>
      </c>
      <c r="H26" s="23" t="s">
        <v>20</v>
      </c>
      <c r="I26" s="23" t="s">
        <v>178</v>
      </c>
      <c r="J26" s="23" t="s">
        <v>68</v>
      </c>
      <c r="K26" s="23"/>
      <c r="L26" s="24" t="s">
        <v>5</v>
      </c>
      <c r="M26" s="23"/>
      <c r="N26" s="23"/>
    </row>
    <row r="27" customFormat="false" ht="48" hidden="false" customHeight="true" outlineLevel="0" collapsed="false">
      <c r="A27" s="25" t="s">
        <v>179</v>
      </c>
      <c r="B27" s="26" t="s">
        <v>180</v>
      </c>
      <c r="C27" s="26" t="s">
        <v>181</v>
      </c>
      <c r="D27" s="27" t="s">
        <v>55</v>
      </c>
      <c r="E27" s="26" t="s">
        <v>182</v>
      </c>
      <c r="F27" s="26" t="s">
        <v>183</v>
      </c>
      <c r="G27" s="27" t="s">
        <v>31</v>
      </c>
      <c r="H27" s="26" t="s">
        <v>22</v>
      </c>
      <c r="I27" s="26" t="s">
        <v>184</v>
      </c>
      <c r="J27" s="26" t="s">
        <v>185</v>
      </c>
      <c r="K27" s="26"/>
      <c r="L27" s="27" t="s">
        <v>5</v>
      </c>
      <c r="M27" s="26"/>
      <c r="N27" s="26"/>
    </row>
    <row r="28" customFormat="false" ht="48" hidden="false" customHeight="true" outlineLevel="0" collapsed="false">
      <c r="A28" s="22" t="s">
        <v>186</v>
      </c>
      <c r="B28" s="23" t="s">
        <v>180</v>
      </c>
      <c r="C28" s="23" t="s">
        <v>187</v>
      </c>
      <c r="D28" s="24" t="s">
        <v>76</v>
      </c>
      <c r="E28" s="23" t="s">
        <v>182</v>
      </c>
      <c r="F28" s="23" t="s">
        <v>188</v>
      </c>
      <c r="G28" s="24" t="s">
        <v>31</v>
      </c>
      <c r="H28" s="23" t="s">
        <v>22</v>
      </c>
      <c r="I28" s="23" t="s">
        <v>68</v>
      </c>
      <c r="J28" s="23" t="s">
        <v>189</v>
      </c>
      <c r="K28" s="23"/>
      <c r="L28" s="24" t="s">
        <v>5</v>
      </c>
      <c r="M28" s="23"/>
      <c r="N28" s="23"/>
    </row>
    <row r="29" customFormat="false" ht="48" hidden="false" customHeight="true" outlineLevel="0" collapsed="false">
      <c r="A29" s="25" t="s">
        <v>190</v>
      </c>
      <c r="B29" s="26" t="s">
        <v>180</v>
      </c>
      <c r="C29" s="26" t="s">
        <v>191</v>
      </c>
      <c r="D29" s="27" t="s">
        <v>76</v>
      </c>
      <c r="E29" s="26" t="s">
        <v>182</v>
      </c>
      <c r="F29" s="26" t="s">
        <v>192</v>
      </c>
      <c r="G29" s="27" t="s">
        <v>31</v>
      </c>
      <c r="H29" s="26" t="s">
        <v>22</v>
      </c>
      <c r="I29" s="26" t="s">
        <v>193</v>
      </c>
      <c r="J29" s="26" t="s">
        <v>194</v>
      </c>
      <c r="K29" s="26"/>
      <c r="L29" s="27" t="s">
        <v>5</v>
      </c>
      <c r="M29" s="26"/>
      <c r="N29" s="26"/>
    </row>
    <row r="30" customFormat="false" ht="48" hidden="false" customHeight="true" outlineLevel="0" collapsed="false">
      <c r="A30" s="22" t="s">
        <v>195</v>
      </c>
      <c r="B30" s="23" t="s">
        <v>180</v>
      </c>
      <c r="C30" s="23" t="s">
        <v>196</v>
      </c>
      <c r="D30" s="24" t="s">
        <v>55</v>
      </c>
      <c r="E30" s="23" t="s">
        <v>182</v>
      </c>
      <c r="F30" s="23" t="s">
        <v>183</v>
      </c>
      <c r="G30" s="24" t="s">
        <v>31</v>
      </c>
      <c r="H30" s="23" t="s">
        <v>22</v>
      </c>
      <c r="I30" s="23" t="s">
        <v>68</v>
      </c>
      <c r="J30" s="23" t="s">
        <v>197</v>
      </c>
      <c r="K30" s="23"/>
      <c r="L30" s="24" t="s">
        <v>5</v>
      </c>
      <c r="M30" s="23"/>
      <c r="N30" s="23"/>
    </row>
    <row r="31" customFormat="false" ht="48" hidden="false" customHeight="true" outlineLevel="0" collapsed="false">
      <c r="A31" s="25" t="s">
        <v>198</v>
      </c>
      <c r="B31" s="26" t="s">
        <v>199</v>
      </c>
      <c r="C31" s="26" t="s">
        <v>200</v>
      </c>
      <c r="D31" s="27" t="s">
        <v>55</v>
      </c>
      <c r="E31" s="26" t="s">
        <v>201</v>
      </c>
      <c r="F31" s="26" t="s">
        <v>202</v>
      </c>
      <c r="G31" s="27" t="s">
        <v>32</v>
      </c>
      <c r="H31" s="26" t="s">
        <v>101</v>
      </c>
      <c r="I31" s="26" t="s">
        <v>203</v>
      </c>
      <c r="J31" s="26" t="s">
        <v>204</v>
      </c>
      <c r="K31" s="26"/>
      <c r="L31" s="27" t="s">
        <v>5</v>
      </c>
      <c r="M31" s="26"/>
      <c r="N31" s="26"/>
    </row>
    <row r="32" customFormat="false" ht="48" hidden="false" customHeight="true" outlineLevel="0" collapsed="false">
      <c r="A32" s="22" t="s">
        <v>205</v>
      </c>
      <c r="B32" s="23" t="s">
        <v>199</v>
      </c>
      <c r="C32" s="23" t="s">
        <v>206</v>
      </c>
      <c r="D32" s="24" t="s">
        <v>55</v>
      </c>
      <c r="E32" s="23" t="s">
        <v>201</v>
      </c>
      <c r="F32" s="23" t="s">
        <v>68</v>
      </c>
      <c r="G32" s="24" t="s">
        <v>32</v>
      </c>
      <c r="H32" s="23" t="s">
        <v>23</v>
      </c>
      <c r="I32" s="23" t="s">
        <v>207</v>
      </c>
      <c r="J32" s="23" t="s">
        <v>208</v>
      </c>
      <c r="K32" s="23"/>
      <c r="L32" s="24" t="s">
        <v>5</v>
      </c>
      <c r="M32" s="23"/>
      <c r="N32" s="23"/>
    </row>
    <row r="33" customFormat="false" ht="48" hidden="false" customHeight="true" outlineLevel="0" collapsed="false">
      <c r="A33" s="25" t="s">
        <v>209</v>
      </c>
      <c r="B33" s="26" t="s">
        <v>199</v>
      </c>
      <c r="C33" s="26" t="s">
        <v>210</v>
      </c>
      <c r="D33" s="27" t="s">
        <v>76</v>
      </c>
      <c r="E33" s="26" t="s">
        <v>201</v>
      </c>
      <c r="F33" s="26" t="s">
        <v>211</v>
      </c>
      <c r="G33" s="27" t="s">
        <v>32</v>
      </c>
      <c r="H33" s="26" t="s">
        <v>20</v>
      </c>
      <c r="I33" s="26" t="s">
        <v>212</v>
      </c>
      <c r="J33" s="26" t="s">
        <v>213</v>
      </c>
      <c r="K33" s="26"/>
      <c r="L33" s="27" t="s">
        <v>5</v>
      </c>
      <c r="M33" s="26"/>
      <c r="N33" s="26"/>
    </row>
    <row r="34" customFormat="false" ht="48" hidden="false" customHeight="true" outlineLevel="0" collapsed="false">
      <c r="A34" s="22" t="s">
        <v>214</v>
      </c>
      <c r="B34" s="23" t="s">
        <v>199</v>
      </c>
      <c r="C34" s="23" t="s">
        <v>215</v>
      </c>
      <c r="D34" s="24" t="s">
        <v>116</v>
      </c>
      <c r="E34" s="23" t="s">
        <v>201</v>
      </c>
      <c r="F34" s="23" t="s">
        <v>68</v>
      </c>
      <c r="G34" s="24" t="s">
        <v>32</v>
      </c>
      <c r="H34" s="23" t="s">
        <v>20</v>
      </c>
      <c r="I34" s="23" t="s">
        <v>216</v>
      </c>
      <c r="J34" s="23" t="s">
        <v>217</v>
      </c>
      <c r="K34" s="23"/>
      <c r="L34" s="24" t="s">
        <v>5</v>
      </c>
      <c r="M34" s="23"/>
      <c r="N34" s="23"/>
    </row>
    <row r="35" customFormat="false" ht="48" hidden="false" customHeight="true" outlineLevel="0" collapsed="false">
      <c r="A35" s="25" t="s">
        <v>218</v>
      </c>
      <c r="B35" s="26" t="s">
        <v>219</v>
      </c>
      <c r="C35" s="26" t="s">
        <v>220</v>
      </c>
      <c r="D35" s="27" t="s">
        <v>55</v>
      </c>
      <c r="E35" s="26" t="s">
        <v>221</v>
      </c>
      <c r="F35" s="26" t="s">
        <v>222</v>
      </c>
      <c r="G35" s="27" t="s">
        <v>223</v>
      </c>
      <c r="H35" s="26" t="s">
        <v>20</v>
      </c>
      <c r="I35" s="26" t="s">
        <v>224</v>
      </c>
      <c r="J35" s="26" t="s">
        <v>68</v>
      </c>
      <c r="K35" s="26"/>
      <c r="L35" s="27" t="s">
        <v>5</v>
      </c>
      <c r="M35" s="26"/>
      <c r="N35" s="26"/>
    </row>
    <row r="36" customFormat="false" ht="48" hidden="false" customHeight="true" outlineLevel="0" collapsed="false">
      <c r="A36" s="22" t="s">
        <v>225</v>
      </c>
      <c r="B36" s="23" t="s">
        <v>219</v>
      </c>
      <c r="C36" s="23" t="s">
        <v>226</v>
      </c>
      <c r="D36" s="24" t="s">
        <v>55</v>
      </c>
      <c r="E36" s="23" t="s">
        <v>221</v>
      </c>
      <c r="F36" s="23" t="s">
        <v>227</v>
      </c>
      <c r="G36" s="24" t="s">
        <v>223</v>
      </c>
      <c r="H36" s="23" t="s">
        <v>20</v>
      </c>
      <c r="I36" s="23" t="s">
        <v>228</v>
      </c>
      <c r="J36" s="23" t="s">
        <v>68</v>
      </c>
      <c r="K36" s="23"/>
      <c r="L36" s="24" t="s">
        <v>5</v>
      </c>
      <c r="M36" s="23"/>
      <c r="N36" s="23"/>
    </row>
    <row r="37" customFormat="false" ht="48" hidden="false" customHeight="true" outlineLevel="0" collapsed="false">
      <c r="A37" s="25" t="s">
        <v>229</v>
      </c>
      <c r="B37" s="26" t="s">
        <v>219</v>
      </c>
      <c r="C37" s="26" t="s">
        <v>230</v>
      </c>
      <c r="D37" s="27" t="s">
        <v>76</v>
      </c>
      <c r="E37" s="26" t="s">
        <v>221</v>
      </c>
      <c r="F37" s="26" t="s">
        <v>68</v>
      </c>
      <c r="G37" s="27" t="s">
        <v>231</v>
      </c>
      <c r="H37" s="26" t="s">
        <v>22</v>
      </c>
      <c r="I37" s="26" t="s">
        <v>68</v>
      </c>
      <c r="J37" s="26" t="s">
        <v>232</v>
      </c>
      <c r="K37" s="26"/>
      <c r="L37" s="27" t="s">
        <v>5</v>
      </c>
      <c r="M37" s="26"/>
      <c r="N37" s="26"/>
    </row>
    <row r="38" customFormat="false" ht="48" hidden="false" customHeight="true" outlineLevel="0" collapsed="false">
      <c r="A38" s="22" t="s">
        <v>233</v>
      </c>
      <c r="B38" s="23" t="s">
        <v>234</v>
      </c>
      <c r="C38" s="23" t="s">
        <v>235</v>
      </c>
      <c r="D38" s="24" t="s">
        <v>55</v>
      </c>
      <c r="E38" s="23" t="s">
        <v>236</v>
      </c>
      <c r="F38" s="23" t="s">
        <v>237</v>
      </c>
      <c r="G38" s="24" t="s">
        <v>36</v>
      </c>
      <c r="H38" s="23" t="s">
        <v>20</v>
      </c>
      <c r="I38" s="23" t="s">
        <v>238</v>
      </c>
      <c r="J38" s="23" t="s">
        <v>68</v>
      </c>
      <c r="K38" s="23"/>
      <c r="L38" s="24" t="s">
        <v>5</v>
      </c>
      <c r="M38" s="23"/>
      <c r="N38" s="23"/>
    </row>
    <row r="39" customFormat="false" ht="48" hidden="false" customHeight="true" outlineLevel="0" collapsed="false">
      <c r="A39" s="25" t="s">
        <v>239</v>
      </c>
      <c r="B39" s="26" t="s">
        <v>234</v>
      </c>
      <c r="C39" s="26" t="s">
        <v>240</v>
      </c>
      <c r="D39" s="27" t="s">
        <v>55</v>
      </c>
      <c r="E39" s="26" t="s">
        <v>236</v>
      </c>
      <c r="F39" s="26" t="s">
        <v>241</v>
      </c>
      <c r="G39" s="27" t="s">
        <v>28</v>
      </c>
      <c r="H39" s="26" t="s">
        <v>20</v>
      </c>
      <c r="I39" s="26" t="s">
        <v>242</v>
      </c>
      <c r="J39" s="26" t="s">
        <v>68</v>
      </c>
      <c r="K39" s="26"/>
      <c r="L39" s="27" t="s">
        <v>5</v>
      </c>
      <c r="M39" s="26"/>
      <c r="N39" s="26"/>
    </row>
    <row r="40" customFormat="false" ht="48" hidden="false" customHeight="true" outlineLevel="0" collapsed="false">
      <c r="A40" s="22" t="s">
        <v>243</v>
      </c>
      <c r="B40" s="23" t="s">
        <v>234</v>
      </c>
      <c r="C40" s="23" t="s">
        <v>244</v>
      </c>
      <c r="D40" s="24" t="s">
        <v>55</v>
      </c>
      <c r="E40" s="23" t="s">
        <v>236</v>
      </c>
      <c r="F40" s="23" t="s">
        <v>245</v>
      </c>
      <c r="G40" s="24" t="s">
        <v>28</v>
      </c>
      <c r="H40" s="23" t="s">
        <v>20</v>
      </c>
      <c r="I40" s="23" t="s">
        <v>246</v>
      </c>
      <c r="J40" s="23" t="s">
        <v>247</v>
      </c>
      <c r="K40" s="23"/>
      <c r="L40" s="24" t="s">
        <v>5</v>
      </c>
      <c r="M40" s="23"/>
      <c r="N40" s="23"/>
    </row>
    <row r="41" customFormat="false" ht="48" hidden="false" customHeight="true" outlineLevel="0" collapsed="false">
      <c r="A41" s="25" t="s">
        <v>248</v>
      </c>
      <c r="B41" s="26" t="s">
        <v>234</v>
      </c>
      <c r="C41" s="26" t="s">
        <v>249</v>
      </c>
      <c r="D41" s="27" t="s">
        <v>55</v>
      </c>
      <c r="E41" s="26" t="s">
        <v>236</v>
      </c>
      <c r="F41" s="26" t="s">
        <v>250</v>
      </c>
      <c r="G41" s="27" t="s">
        <v>27</v>
      </c>
      <c r="H41" s="26" t="s">
        <v>20</v>
      </c>
      <c r="I41" s="26" t="s">
        <v>251</v>
      </c>
      <c r="J41" s="26" t="s">
        <v>68</v>
      </c>
      <c r="K41" s="26"/>
      <c r="L41" s="27" t="s">
        <v>5</v>
      </c>
      <c r="M41" s="26"/>
      <c r="N41" s="26"/>
    </row>
    <row r="42" customFormat="false" ht="48" hidden="false" customHeight="true" outlineLevel="0" collapsed="false">
      <c r="A42" s="22" t="s">
        <v>252</v>
      </c>
      <c r="B42" s="23" t="s">
        <v>234</v>
      </c>
      <c r="C42" s="23" t="s">
        <v>253</v>
      </c>
      <c r="D42" s="24" t="s">
        <v>55</v>
      </c>
      <c r="E42" s="23" t="s">
        <v>236</v>
      </c>
      <c r="F42" s="23" t="s">
        <v>254</v>
      </c>
      <c r="G42" s="24" t="s">
        <v>31</v>
      </c>
      <c r="H42" s="23" t="s">
        <v>22</v>
      </c>
      <c r="I42" s="23" t="s">
        <v>255</v>
      </c>
      <c r="J42" s="23" t="s">
        <v>256</v>
      </c>
      <c r="K42" s="23"/>
      <c r="L42" s="24" t="s">
        <v>5</v>
      </c>
      <c r="M42" s="23"/>
      <c r="N42" s="23"/>
    </row>
    <row r="43" customFormat="false" ht="48" hidden="false" customHeight="true" outlineLevel="0" collapsed="false">
      <c r="A43" s="25" t="s">
        <v>257</v>
      </c>
      <c r="B43" s="26" t="s">
        <v>258</v>
      </c>
      <c r="C43" s="26" t="s">
        <v>259</v>
      </c>
      <c r="D43" s="27" t="s">
        <v>55</v>
      </c>
      <c r="E43" s="26" t="s">
        <v>260</v>
      </c>
      <c r="F43" s="26" t="s">
        <v>261</v>
      </c>
      <c r="G43" s="27" t="s">
        <v>36</v>
      </c>
      <c r="H43" s="26" t="s">
        <v>20</v>
      </c>
      <c r="I43" s="26" t="s">
        <v>262</v>
      </c>
      <c r="J43" s="26" t="s">
        <v>68</v>
      </c>
      <c r="K43" s="26"/>
      <c r="L43" s="27" t="s">
        <v>5</v>
      </c>
      <c r="M43" s="26"/>
      <c r="N43" s="26"/>
    </row>
    <row r="44" customFormat="false" ht="48" hidden="false" customHeight="true" outlineLevel="0" collapsed="false">
      <c r="A44" s="22" t="s">
        <v>263</v>
      </c>
      <c r="B44" s="23" t="s">
        <v>258</v>
      </c>
      <c r="C44" s="23" t="s">
        <v>264</v>
      </c>
      <c r="D44" s="24" t="s">
        <v>55</v>
      </c>
      <c r="E44" s="23" t="s">
        <v>260</v>
      </c>
      <c r="F44" s="23" t="s">
        <v>68</v>
      </c>
      <c r="G44" s="24" t="s">
        <v>36</v>
      </c>
      <c r="H44" s="23" t="s">
        <v>20</v>
      </c>
      <c r="I44" s="23" t="s">
        <v>265</v>
      </c>
      <c r="J44" s="23" t="s">
        <v>68</v>
      </c>
      <c r="K44" s="23"/>
      <c r="L44" s="24" t="s">
        <v>5</v>
      </c>
      <c r="M44" s="23"/>
      <c r="N44" s="23"/>
    </row>
    <row r="45" customFormat="false" ht="48" hidden="false" customHeight="true" outlineLevel="0" collapsed="false">
      <c r="A45" s="25" t="s">
        <v>266</v>
      </c>
      <c r="B45" s="26" t="s">
        <v>258</v>
      </c>
      <c r="C45" s="26" t="s">
        <v>267</v>
      </c>
      <c r="D45" s="27" t="s">
        <v>76</v>
      </c>
      <c r="E45" s="26" t="s">
        <v>260</v>
      </c>
      <c r="F45" s="26" t="s">
        <v>68</v>
      </c>
      <c r="G45" s="27" t="s">
        <v>36</v>
      </c>
      <c r="H45" s="26" t="s">
        <v>20</v>
      </c>
      <c r="I45" s="26" t="s">
        <v>268</v>
      </c>
      <c r="J45" s="26" t="s">
        <v>68</v>
      </c>
      <c r="K45" s="26"/>
      <c r="L45" s="27" t="s">
        <v>5</v>
      </c>
      <c r="M45" s="26"/>
      <c r="N45" s="26"/>
    </row>
    <row r="46" customFormat="false" ht="48" hidden="false" customHeight="true" outlineLevel="0" collapsed="false">
      <c r="A46" s="22" t="s">
        <v>269</v>
      </c>
      <c r="B46" s="23" t="s">
        <v>270</v>
      </c>
      <c r="C46" s="23" t="s">
        <v>271</v>
      </c>
      <c r="D46" s="24" t="s">
        <v>55</v>
      </c>
      <c r="E46" s="23" t="s">
        <v>272</v>
      </c>
      <c r="F46" s="23" t="s">
        <v>273</v>
      </c>
      <c r="G46" s="24" t="s">
        <v>274</v>
      </c>
      <c r="H46" s="23" t="s">
        <v>275</v>
      </c>
      <c r="I46" s="23" t="s">
        <v>68</v>
      </c>
      <c r="J46" s="23" t="s">
        <v>276</v>
      </c>
      <c r="K46" s="23"/>
      <c r="L46" s="24" t="s">
        <v>5</v>
      </c>
      <c r="M46" s="23"/>
      <c r="N46" s="23"/>
    </row>
    <row r="47" customFormat="false" ht="48" hidden="false" customHeight="true" outlineLevel="0" collapsed="false">
      <c r="A47" s="25" t="s">
        <v>277</v>
      </c>
      <c r="B47" s="26" t="s">
        <v>270</v>
      </c>
      <c r="C47" s="26" t="s">
        <v>278</v>
      </c>
      <c r="D47" s="27" t="s">
        <v>55</v>
      </c>
      <c r="E47" s="26" t="s">
        <v>272</v>
      </c>
      <c r="F47" s="26" t="s">
        <v>279</v>
      </c>
      <c r="G47" s="27" t="s">
        <v>280</v>
      </c>
      <c r="H47" s="26" t="s">
        <v>22</v>
      </c>
      <c r="I47" s="26" t="s">
        <v>68</v>
      </c>
      <c r="J47" s="26" t="s">
        <v>281</v>
      </c>
      <c r="K47" s="26"/>
      <c r="L47" s="27" t="s">
        <v>5</v>
      </c>
      <c r="M47" s="26"/>
      <c r="N47" s="26"/>
    </row>
    <row r="48" customFormat="false" ht="48" hidden="false" customHeight="true" outlineLevel="0" collapsed="false">
      <c r="A48" s="22" t="s">
        <v>282</v>
      </c>
      <c r="B48" s="23" t="s">
        <v>270</v>
      </c>
      <c r="C48" s="23" t="s">
        <v>283</v>
      </c>
      <c r="D48" s="24" t="s">
        <v>76</v>
      </c>
      <c r="E48" s="23" t="s">
        <v>272</v>
      </c>
      <c r="F48" s="23" t="s">
        <v>284</v>
      </c>
      <c r="G48" s="24" t="s">
        <v>285</v>
      </c>
      <c r="H48" s="23" t="s">
        <v>21</v>
      </c>
      <c r="I48" s="23" t="s">
        <v>68</v>
      </c>
      <c r="J48" s="23" t="s">
        <v>286</v>
      </c>
      <c r="K48" s="23"/>
      <c r="L48" s="24" t="s">
        <v>5</v>
      </c>
      <c r="M48" s="23"/>
      <c r="N48" s="23"/>
    </row>
    <row r="49" customFormat="false" ht="48" hidden="false" customHeight="true" outlineLevel="0" collapsed="false">
      <c r="A49" s="25" t="s">
        <v>287</v>
      </c>
      <c r="B49" s="26" t="s">
        <v>288</v>
      </c>
      <c r="C49" s="26" t="s">
        <v>289</v>
      </c>
      <c r="D49" s="27" t="s">
        <v>55</v>
      </c>
      <c r="E49" s="26" t="s">
        <v>290</v>
      </c>
      <c r="F49" s="26" t="s">
        <v>291</v>
      </c>
      <c r="G49" s="27" t="s">
        <v>34</v>
      </c>
      <c r="H49" s="26" t="s">
        <v>23</v>
      </c>
      <c r="I49" s="26" t="s">
        <v>292</v>
      </c>
      <c r="J49" s="26" t="s">
        <v>293</v>
      </c>
      <c r="K49" s="26"/>
      <c r="L49" s="27" t="s">
        <v>5</v>
      </c>
      <c r="M49" s="26"/>
      <c r="N49" s="26"/>
    </row>
    <row r="50" customFormat="false" ht="48" hidden="false" customHeight="true" outlineLevel="0" collapsed="false">
      <c r="A50" s="22" t="s">
        <v>294</v>
      </c>
      <c r="B50" s="23" t="s">
        <v>288</v>
      </c>
      <c r="C50" s="23" t="s">
        <v>295</v>
      </c>
      <c r="D50" s="24" t="s">
        <v>55</v>
      </c>
      <c r="E50" s="23" t="s">
        <v>290</v>
      </c>
      <c r="F50" s="23" t="s">
        <v>296</v>
      </c>
      <c r="G50" s="24" t="s">
        <v>35</v>
      </c>
      <c r="H50" s="23" t="s">
        <v>20</v>
      </c>
      <c r="I50" s="23" t="s">
        <v>297</v>
      </c>
      <c r="J50" s="23" t="s">
        <v>68</v>
      </c>
      <c r="K50" s="23"/>
      <c r="L50" s="24" t="s">
        <v>5</v>
      </c>
      <c r="M50" s="23"/>
      <c r="N50" s="23"/>
    </row>
    <row r="51" customFormat="false" ht="48" hidden="false" customHeight="true" outlineLevel="0" collapsed="false">
      <c r="A51" s="25" t="s">
        <v>298</v>
      </c>
      <c r="B51" s="26" t="s">
        <v>288</v>
      </c>
      <c r="C51" s="26" t="s">
        <v>299</v>
      </c>
      <c r="D51" s="27" t="s">
        <v>76</v>
      </c>
      <c r="E51" s="26" t="s">
        <v>290</v>
      </c>
      <c r="F51" s="26" t="s">
        <v>300</v>
      </c>
      <c r="G51" s="27" t="s">
        <v>37</v>
      </c>
      <c r="H51" s="26" t="s">
        <v>20</v>
      </c>
      <c r="I51" s="26" t="s">
        <v>301</v>
      </c>
      <c r="J51" s="26" t="s">
        <v>68</v>
      </c>
      <c r="K51" s="26"/>
      <c r="L51" s="27" t="s">
        <v>5</v>
      </c>
      <c r="M51" s="26"/>
      <c r="N51" s="26"/>
    </row>
  </sheetData>
  <autoFilter ref="A3:N51"/>
  <mergeCells count="2">
    <mergeCell ref="A1:N1"/>
    <mergeCell ref="A2:N2"/>
  </mergeCells>
  <conditionalFormatting sqref="L4:L51">
    <cfRule type="cellIs" priority="2" operator="equal" aboveAverage="0" equalAverage="0" bottom="0" percent="0" rank="0" text="" dxfId="7">
      <formula>"Complete"</formula>
    </cfRule>
    <cfRule type="cellIs" priority="3" operator="equal" aboveAverage="0" equalAverage="0" bottom="0" percent="0" rank="0" text="" dxfId="8">
      <formula>"In Progress"</formula>
    </cfRule>
    <cfRule type="cellIs" priority="4" operator="equal" aboveAverage="0" equalAverage="0" bottom="0" percent="0" rank="0" text="" dxfId="9">
      <formula>"Blocked"</formula>
    </cfRule>
    <cfRule type="cellIs" priority="5" operator="equal" aboveAverage="0" equalAverage="0" bottom="0" percent="0" rank="0" text="" dxfId="10">
      <formula>"Deferred"</formula>
    </cfRule>
    <cfRule type="cellIs" priority="6" operator="equal" aboveAverage="0" equalAverage="0" bottom="0" percent="0" rank="0" text="" dxfId="11">
      <formula>"Not Started"</formula>
    </cfRule>
  </conditionalFormatting>
  <conditionalFormatting sqref="D4:D51">
    <cfRule type="cellIs" priority="7" operator="equal" aboveAverage="0" equalAverage="0" bottom="0" percent="0" rank="0" text="" dxfId="12">
      <formula>"High"</formula>
    </cfRule>
    <cfRule type="cellIs" priority="8" operator="equal" aboveAverage="0" equalAverage="0" bottom="0" percent="0" rank="0" text="" dxfId="13">
      <formula>"Medium"</formula>
    </cfRule>
    <cfRule type="cellIs" priority="9" operator="equal" aboveAverage="0" equalAverage="0" bottom="0" percent="0" rank="0" text="" dxfId="14">
      <formula>"Low"</formula>
    </cfRule>
  </conditionalFormatting>
  <dataValidations count="3">
    <dataValidation allowBlank="false" errorStyle="stop" operator="between" showDropDown="false" showErrorMessage="false" showInputMessage="false" sqref="D4:D51" type="list">
      <formula1>"High,Medium,Low"</formula1>
      <formula2>0</formula2>
    </dataValidation>
    <dataValidation allowBlank="false" errorStyle="stop" operator="between" showDropDown="false" showErrorMessage="false" showInputMessage="false" sqref="L4:L51" type="list">
      <formula1>"Not Started,In Progress,Complete,Blocked,Deferred"</formula1>
      <formula2>0</formula2>
    </dataValidation>
    <dataValidation allowBlank="true" errorStyle="stop" operator="between" showDropDown="false" showErrorMessage="false" showInputMessage="false" sqref="H4:H51" type="list">
      <formula1>"Pratik,Umang,Dol Bahadur,Anjali,Pratik + Umang,Pratik + Anjali,Umang + Dol Bahadur,Anjali + Pratik,Team"</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60"/>
    <col collapsed="false" customWidth="true" hidden="false" outlineLevel="0" max="3" min="3" style="0" width="50"/>
  </cols>
  <sheetData>
    <row r="1" customFormat="false" ht="19.7" hidden="false" customHeight="false" outlineLevel="0" collapsed="false">
      <c r="A1" s="19" t="s">
        <v>302</v>
      </c>
      <c r="B1" s="19"/>
      <c r="C1" s="19"/>
    </row>
    <row r="3" customFormat="false" ht="15" hidden="false" customHeight="false" outlineLevel="0" collapsed="false">
      <c r="A3" s="28" t="s">
        <v>303</v>
      </c>
    </row>
    <row r="4" customFormat="false" ht="60" hidden="false" customHeight="true" outlineLevel="0" collapsed="false">
      <c r="A4" s="29" t="s">
        <v>304</v>
      </c>
      <c r="B4" s="29"/>
      <c r="C4" s="29"/>
    </row>
    <row r="6" customFormat="false" ht="15" hidden="false" customHeight="false" outlineLevel="0" collapsed="false">
      <c r="A6" s="28" t="s">
        <v>305</v>
      </c>
    </row>
    <row r="7" customFormat="false" ht="31.5" hidden="false" customHeight="true" outlineLevel="0" collapsed="false">
      <c r="A7" s="21" t="s">
        <v>306</v>
      </c>
      <c r="B7" s="21" t="s">
        <v>307</v>
      </c>
      <c r="C7" s="21" t="s">
        <v>308</v>
      </c>
    </row>
    <row r="8" customFormat="false" ht="31.5" hidden="false" customHeight="true" outlineLevel="0" collapsed="false">
      <c r="A8" s="26" t="s">
        <v>39</v>
      </c>
      <c r="B8" s="26" t="s">
        <v>309</v>
      </c>
      <c r="C8" s="26" t="s">
        <v>310</v>
      </c>
    </row>
    <row r="9" customFormat="false" ht="31.5" hidden="false" customHeight="true" outlineLevel="0" collapsed="false">
      <c r="A9" s="26" t="s">
        <v>40</v>
      </c>
      <c r="B9" s="26" t="s">
        <v>311</v>
      </c>
      <c r="C9" s="26" t="s">
        <v>312</v>
      </c>
    </row>
    <row r="10" customFormat="false" ht="31.5" hidden="false" customHeight="true" outlineLevel="0" collapsed="false">
      <c r="A10" s="26" t="s">
        <v>41</v>
      </c>
      <c r="B10" s="26" t="s">
        <v>313</v>
      </c>
      <c r="C10" s="26" t="s">
        <v>314</v>
      </c>
    </row>
    <row r="11" customFormat="false" ht="31.5" hidden="false" customHeight="true" outlineLevel="0" collapsed="false">
      <c r="A11" s="26" t="s">
        <v>42</v>
      </c>
      <c r="B11" s="26" t="s">
        <v>315</v>
      </c>
      <c r="C11" s="26" t="s">
        <v>316</v>
      </c>
    </row>
    <row r="12" customFormat="false" ht="31.5" hidden="false" customHeight="true" outlineLevel="0" collapsed="false">
      <c r="A12" s="26" t="s">
        <v>43</v>
      </c>
      <c r="B12" s="26" t="s">
        <v>317</v>
      </c>
      <c r="C12" s="26" t="s">
        <v>312</v>
      </c>
    </row>
    <row r="13" customFormat="false" ht="31.5" hidden="false" customHeight="true" outlineLevel="0" collapsed="false">
      <c r="A13" s="26" t="s">
        <v>44</v>
      </c>
      <c r="B13" s="26" t="s">
        <v>318</v>
      </c>
      <c r="C13" s="26" t="s">
        <v>319</v>
      </c>
    </row>
    <row r="14" customFormat="false" ht="31.5" hidden="false" customHeight="true" outlineLevel="0" collapsed="false">
      <c r="A14" s="26" t="s">
        <v>45</v>
      </c>
      <c r="B14" s="26" t="s">
        <v>320</v>
      </c>
      <c r="C14" s="26" t="s">
        <v>321</v>
      </c>
    </row>
    <row r="15" customFormat="false" ht="31.5" hidden="false" customHeight="true" outlineLevel="0" collapsed="false">
      <c r="A15" s="26" t="s">
        <v>17</v>
      </c>
      <c r="B15" s="26" t="s">
        <v>322</v>
      </c>
      <c r="C15" s="26" t="s">
        <v>323</v>
      </c>
    </row>
    <row r="16" customFormat="false" ht="31.5" hidden="false" customHeight="true" outlineLevel="0" collapsed="false">
      <c r="A16" s="26" t="s">
        <v>46</v>
      </c>
      <c r="B16" s="26" t="s">
        <v>324</v>
      </c>
      <c r="C16" s="26" t="s">
        <v>325</v>
      </c>
    </row>
    <row r="17" customFormat="false" ht="31.5" hidden="false" customHeight="true" outlineLevel="0" collapsed="false">
      <c r="A17" s="26" t="s">
        <v>47</v>
      </c>
      <c r="B17" s="26" t="s">
        <v>326</v>
      </c>
      <c r="C17" s="26" t="s">
        <v>325</v>
      </c>
    </row>
    <row r="18" customFormat="false" ht="31.5" hidden="false" customHeight="true" outlineLevel="0" collapsed="false">
      <c r="A18" s="26" t="s">
        <v>48</v>
      </c>
      <c r="B18" s="26" t="s">
        <v>327</v>
      </c>
      <c r="C18" s="26" t="s">
        <v>328</v>
      </c>
    </row>
    <row r="19" customFormat="false" ht="31.5" hidden="false" customHeight="true" outlineLevel="0" collapsed="false">
      <c r="A19" s="26" t="s">
        <v>49</v>
      </c>
      <c r="B19" s="26" t="s">
        <v>329</v>
      </c>
      <c r="C19" s="26" t="s">
        <v>330</v>
      </c>
    </row>
    <row r="20" customFormat="false" ht="31.5" hidden="false" customHeight="true" outlineLevel="0" collapsed="false">
      <c r="A20" s="26" t="s">
        <v>50</v>
      </c>
      <c r="B20" s="26" t="s">
        <v>331</v>
      </c>
      <c r="C20" s="26" t="s">
        <v>332</v>
      </c>
    </row>
    <row r="21" customFormat="false" ht="31.5" hidden="false" customHeight="true" outlineLevel="0" collapsed="false">
      <c r="A21" s="26" t="s">
        <v>51</v>
      </c>
      <c r="B21" s="26" t="s">
        <v>333</v>
      </c>
      <c r="C21" s="26" t="s">
        <v>334</v>
      </c>
    </row>
    <row r="24" customFormat="false" ht="15" hidden="false" customHeight="false" outlineLevel="0" collapsed="false">
      <c r="A24" s="28" t="s">
        <v>335</v>
      </c>
    </row>
    <row r="25" customFormat="false" ht="24" hidden="false" customHeight="true" outlineLevel="0" collapsed="false">
      <c r="A25" s="30" t="s">
        <v>5</v>
      </c>
      <c r="B25" s="26" t="s">
        <v>336</v>
      </c>
      <c r="C25" s="26"/>
    </row>
    <row r="26" customFormat="false" ht="24" hidden="false" customHeight="true" outlineLevel="0" collapsed="false">
      <c r="A26" s="31" t="s">
        <v>7</v>
      </c>
      <c r="B26" s="26" t="s">
        <v>337</v>
      </c>
      <c r="C26" s="26"/>
    </row>
    <row r="27" customFormat="false" ht="24" hidden="false" customHeight="true" outlineLevel="0" collapsed="false">
      <c r="A27" s="32" t="s">
        <v>9</v>
      </c>
      <c r="B27" s="26" t="s">
        <v>338</v>
      </c>
      <c r="C27" s="26"/>
    </row>
    <row r="28" customFormat="false" ht="24" hidden="false" customHeight="true" outlineLevel="0" collapsed="false">
      <c r="A28" s="33" t="s">
        <v>11</v>
      </c>
      <c r="B28" s="26" t="s">
        <v>339</v>
      </c>
      <c r="C28" s="26"/>
    </row>
    <row r="29" customFormat="false" ht="24" hidden="false" customHeight="true" outlineLevel="0" collapsed="false">
      <c r="A29" s="34" t="s">
        <v>13</v>
      </c>
      <c r="B29" s="26" t="s">
        <v>340</v>
      </c>
      <c r="C29" s="26"/>
    </row>
    <row r="32" customFormat="false" ht="15" hidden="false" customHeight="false" outlineLevel="0" collapsed="false">
      <c r="A32" s="28" t="s">
        <v>341</v>
      </c>
    </row>
    <row r="33" customFormat="false" ht="27.75" hidden="false" customHeight="true" outlineLevel="0" collapsed="false">
      <c r="A33" s="29" t="s">
        <v>342</v>
      </c>
      <c r="B33" s="29"/>
      <c r="C33" s="29"/>
    </row>
    <row r="34" customFormat="false" ht="27.75" hidden="false" customHeight="true" outlineLevel="0" collapsed="false">
      <c r="A34" s="29" t="s">
        <v>343</v>
      </c>
      <c r="B34" s="29"/>
      <c r="C34" s="29"/>
    </row>
    <row r="35" customFormat="false" ht="27.75" hidden="false" customHeight="true" outlineLevel="0" collapsed="false">
      <c r="A35" s="29" t="s">
        <v>344</v>
      </c>
      <c r="B35" s="29"/>
      <c r="C35" s="29"/>
    </row>
    <row r="36" customFormat="false" ht="27.75" hidden="false" customHeight="true" outlineLevel="0" collapsed="false">
      <c r="A36" s="29" t="s">
        <v>345</v>
      </c>
      <c r="B36" s="29"/>
      <c r="C36" s="29"/>
    </row>
    <row r="37" customFormat="false" ht="27.75" hidden="false" customHeight="true" outlineLevel="0" collapsed="false">
      <c r="A37" s="29" t="s">
        <v>346</v>
      </c>
      <c r="B37" s="29"/>
      <c r="C37" s="29"/>
    </row>
    <row r="38" customFormat="false" ht="27.75" hidden="false" customHeight="true" outlineLevel="0" collapsed="false">
      <c r="A38" s="29" t="s">
        <v>347</v>
      </c>
      <c r="B38" s="29"/>
      <c r="C38" s="29"/>
    </row>
  </sheetData>
  <mergeCells count="13">
    <mergeCell ref="A1:C1"/>
    <mergeCell ref="A4:C4"/>
    <mergeCell ref="B25:C25"/>
    <mergeCell ref="B26:C26"/>
    <mergeCell ref="B27:C27"/>
    <mergeCell ref="B28:C28"/>
    <mergeCell ref="B29:C29"/>
    <mergeCell ref="A33:C33"/>
    <mergeCell ref="A34:C34"/>
    <mergeCell ref="A35:C35"/>
    <mergeCell ref="A36:C36"/>
    <mergeCell ref="A37:C37"/>
    <mergeCell ref="A38:C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2026-06-04T04:22:34Z</dcterms:created>
  <dc:creator>openpyxl</dc:creator>
  <dc:description/>
  <dc:language>en-US</dc:language>
  <cp:lastModifiedBy/>
  <dcterms:modified xsi:type="dcterms:W3CDTF">2026-06-04T04:22:34Z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